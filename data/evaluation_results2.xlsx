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6cdde905ac5d59f/Documents/meeting/3rd study/evaluation/"/>
    </mc:Choice>
  </mc:AlternateContent>
  <xr:revisionPtr revIDLastSave="11" documentId="8_{A1CD6178-CC87-4D18-97FD-203730A68965}" xr6:coauthVersionLast="47" xr6:coauthVersionMax="47" xr10:uidLastSave="{7DC8C224-04EB-42CD-ADD4-E3D2A7117D3C}"/>
  <bookViews>
    <workbookView xWindow="-98" yWindow="-98" windowWidth="21795" windowHeight="12975" activeTab="1" xr2:uid="{00000000-000D-0000-FFFF-FFFF00000000}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2" l="1"/>
  <c r="K22" i="2"/>
  <c r="L22" i="2"/>
  <c r="M22" i="2"/>
  <c r="I22" i="2"/>
</calcChain>
</file>

<file path=xl/sharedStrings.xml><?xml version="1.0" encoding="utf-8"?>
<sst xmlns="http://schemas.openxmlformats.org/spreadsheetml/2006/main" count="145" uniqueCount="106">
  <si>
    <t>No</t>
  </si>
  <si>
    <t>Stage</t>
  </si>
  <si>
    <t>Output</t>
  </si>
  <si>
    <t>generated</t>
  </si>
  <si>
    <t>reference</t>
  </si>
  <si>
    <t>BLEU</t>
  </si>
  <si>
    <t>BERT_P</t>
  </si>
  <si>
    <t>BERT_R</t>
  </si>
  <si>
    <t>BERT_F1</t>
  </si>
  <si>
    <t>LSTM_Score</t>
  </si>
  <si>
    <t>problem_finding</t>
  </si>
  <si>
    <t>Generate an inquiry question in English for the problem-finding stage about centripetal acceleration.</t>
  </si>
  <si>
    <t>Ask students to mention an everyday situation where circular motion occurs.</t>
  </si>
  <si>
    <t>{"inquiry":"What everyday activity around you involves an object moving in a circular path?"}</t>
  </si>
  <si>
    <t>What everyday activity around you involves an object moving in a circular path?</t>
  </si>
  <si>
    <t>Generate an inquiry question in English that helps students identify circular motion in daily life.</t>
  </si>
  <si>
    <t>Ask what prevents an object moving in a circle from continuing in a straight line.</t>
  </si>
  <si>
    <t>{"inquiry":"When you see an object moving in a circle, what keeps it from flying straight away?"}</t>
  </si>
  <si>
    <t>When you see an object moving in a circle, what keeps it from flying straight away?</t>
  </si>
  <si>
    <t>Create a problem-finding inquiry question that encourages students to observe circular motion around them.</t>
  </si>
  <si>
    <t>Ask students to find an example of circular motion in their surroundings.</t>
  </si>
  <si>
    <t>{"inquiry":"Can you find an example of circular motion at home or school that you observe every day?"}</t>
  </si>
  <si>
    <t>Can you find an example of circular motion at home or school that you observe every day?</t>
  </si>
  <si>
    <t>Generate a simple inquiry question that probes students’ thinking about why circular motion occurs.</t>
  </si>
  <si>
    <t>Ask why objects moving in a circle do not follow a straight path.</t>
  </si>
  <si>
    <t>{"inquiry":"Why do you think objects moving in a circle do not move in a straight line?"}</t>
  </si>
  <si>
    <t>Why do you think objects moving in a circle do not move in a straight line?</t>
  </si>
  <si>
    <t>Create an inquiry question that asks students to identify rotating objects in their environment.</t>
  </si>
  <si>
    <t>Ask students to name common objects that rotate or move in circles.</t>
  </si>
  <si>
    <t>{"inquiry":"Which common devices around you involve rotation or circular motion?"}</t>
  </si>
  <si>
    <t>Which common devices around you involve rotation or circular motion?</t>
  </si>
  <si>
    <t>Generate an inquiry question that connects turning motion with physical sensation.</t>
  </si>
  <si>
    <t>Ask students about the feeling experienced when turning quickly.</t>
  </si>
  <si>
    <t>{"inquiry":"Have you ever felt pulled inward or outward while turning quickly? What might cause that?"}</t>
  </si>
  <si>
    <t>Have you ever felt pulled inward or outward while turning quickly? What might cause that?</t>
  </si>
  <si>
    <t>Create a question that helps students think about what maintains circular motion.</t>
  </si>
  <si>
    <t>Ask what happens if the force causing circular motion is removed.</t>
  </si>
  <si>
    <t>{"inquiry":"What happens to an object if the force keeping it in circular motion suddenly disappears?"}</t>
  </si>
  <si>
    <t>What happens to an object if the force keeping it in circular motion suddenly disappears?</t>
  </si>
  <si>
    <t>Generate an inquiry question that challenges the idea that acceleration always requires changing speed.</t>
  </si>
  <si>
    <t>Ask whether circular motion can occur at constant speed.</t>
  </si>
  <si>
    <t>{"inquiry":"Can circular motion occur even if the speed of an object is constant?"}</t>
  </si>
  <si>
    <t>Can circular motion occur even if the speed of an object is constant?</t>
  </si>
  <si>
    <t>Create a question that encourages students to classify types of motion they observe.</t>
  </si>
  <si>
    <t>Ask students to identify motions that involve continuous turning.</t>
  </si>
  <si>
    <t>{"inquiry":"What kinds of motion involve constant turning rather than straight movement?"}</t>
  </si>
  <si>
    <t>What kinds of motion involve constant turning rather than straight movement?</t>
  </si>
  <si>
    <t>Generate a real-world inquiry question related to vehicles and turning.</t>
  </si>
  <si>
    <t>Ask why vehicles reduce speed when making sharp turns.</t>
  </si>
  <si>
    <t>{"inquiry":"Why do vehicles slow down when taking sharp turns?"}</t>
  </si>
  <si>
    <t>Why do vehicles slow down when taking sharp turns?</t>
  </si>
  <si>
    <t>problem_exploring</t>
  </si>
  <si>
    <t>Generate an inquiry question in English for the problem-exploring stage using the context of a rotating bicycle wheel.</t>
  </si>
  <si>
    <t>Ask about the direction of acceleration in a rotating bicycle wheel relative to its center.</t>
  </si>
  <si>
    <t>{"inquiry":"Explain the direction of the acceleration in a rotating bicycle wheel and its relation to the center."}</t>
  </si>
  <si>
    <t>Explain the direction of the acceleration in a rotating bicycle wheel and its relation to the center.</t>
  </si>
  <si>
    <t>Create an inquiry question that explores how rotation speed affects acceleration on a bicycle wheel.</t>
  </si>
  <si>
    <t>Ask how increasing wheel speed affects the acceleration of a point on the wheel.</t>
  </si>
  <si>
    <t>{"inquiry":"How does the acceleration of a point on the wheel change when the rotation speed increases?"}</t>
  </si>
  <si>
    <t>How does the acceleration of a point on the wheel change when the rotation speed increases?</t>
  </si>
  <si>
    <t>Generate an inquiry question analyzing centripetal acceleration at constant speed using a bicycle wheel.</t>
  </si>
  <si>
    <t>Ask why a point on the wheel still accelerates even when speed is constant.</t>
  </si>
  <si>
    <t>{"inquiry":"Why does a point on the rim of the wheel experience centripetal acceleration even at constant speed?"}</t>
  </si>
  <si>
    <t>Why does a point on the rim of the wheel experience centripetal acceleration even at constant speed?</t>
  </si>
  <si>
    <t>Create an inquiry question comparing different positions on a rotating wheel.</t>
  </si>
  <si>
    <t>Ask students to compare centripetal acceleration at different distances from the center.</t>
  </si>
  <si>
    <t>{"inquiry":"Compare the centripetal acceleration at the rim and near the center of the wheel."}</t>
  </si>
  <si>
    <t>Compare the centripetal acceleration at the rim and near the center of the wheel.</t>
  </si>
  <si>
    <t>Generate an inquiry question that examines the source of centripetal force in a rotating wheel.</t>
  </si>
  <si>
    <t>Ask what force causes the centripetal acceleration in the wheel.</t>
  </si>
  <si>
    <t>{"inquiry":"What force provides the centripetal acceleration for points on the rotating wheel?"}</t>
  </si>
  <si>
    <t>What force provides the centripetal acceleration for points on the rotating wheel?</t>
  </si>
  <si>
    <t>Create an inquiry question about how wheel radius affects centripetal acceleration.</t>
  </si>
  <si>
    <t>Ask how changing the wheel radius influences centripetal acceleration.</t>
  </si>
  <si>
    <t>{"inquiry":"If the wheel radius increases, how does the centripetal acceleration change?"}</t>
  </si>
  <si>
    <t>If the wheel radius increases, how does the centripetal acceleration change?</t>
  </si>
  <si>
    <t>Generate an inquiry question contrasting velocity and acceleration directions on a rotating wheel.</t>
  </si>
  <si>
    <t>Ask how the directions of velocity and acceleration differ in circular motion.</t>
  </si>
  <si>
    <t>{"inquiry":"How is the direction of velocity different from the direction of acceleration on the wheel?"}</t>
  </si>
  <si>
    <t>How is the direction of velocity different from the direction of acceleration on the wheel?</t>
  </si>
  <si>
    <t>Create an inquiry question exploring what happens when circular motion stops suddenly.</t>
  </si>
  <si>
    <t>Ask what happens to an object on the wheel if rotation suddenly stops.</t>
  </si>
  <si>
    <t>{"inquiry":"What would happen to a small object on the rim if the wheel suddenly stopped?"}</t>
  </si>
  <si>
    <t>What would happen to a small object on the rim if the wheel suddenly stopped?</t>
  </si>
  <si>
    <t>Generate an inquiry question encouraging experimental verification of acceleration in circular motion.</t>
  </si>
  <si>
    <t>Ask how an experiment can show acceleration during constant-speed circular motion.</t>
  </si>
  <si>
    <t>{"inquiry":"How can you experimentally show that acceleration exists even when speed is constant?"}</t>
  </si>
  <si>
    <t>How can you experimentally show that acceleration exists even when speed is constant?</t>
  </si>
  <si>
    <t>Create an inquiry question analyzing the perpendicular nature of centripetal acceleration.</t>
  </si>
  <si>
    <t>Ask why centripetal acceleration is perpendicular to velocity.</t>
  </si>
  <si>
    <t>{"inquiry":"Why is the centripetal acceleration always perpendicular to the velocity?"}</t>
  </si>
  <si>
    <t>Why is the centripetal acceleration always perpendicular to the velocity?</t>
  </si>
  <si>
    <t>Column	 Meaning
BLEU	Lexical overlap
BERT_P	Precision (semantic)
BERT_R	Recall (semantic)
BERT_F1	Main semantic score
LSTM_Score	Neural similarity</t>
  </si>
  <si>
    <t>PLAN : add 10 physics teacher evaluation , add diversity score using STS</t>
  </si>
  <si>
    <t>zero shot</t>
  </si>
  <si>
    <t>few Shot</t>
  </si>
  <si>
    <t>Method</t>
  </si>
  <si>
    <t>Zero shot</t>
  </si>
  <si>
    <t>BERT (Precision)</t>
  </si>
  <si>
    <t>BERT (Recall)</t>
  </si>
  <si>
    <t>BERT (F1)</t>
  </si>
  <si>
    <t>ROUGE-L</t>
  </si>
  <si>
    <t>METEOR</t>
  </si>
  <si>
    <t>BLEUR-T</t>
  </si>
  <si>
    <t>LSTM</t>
  </si>
  <si>
    <t>Centripetal-Problem finding-exploring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</si>
</sst>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Fill="1"/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Automatic Evaluation scores</a:t>
            </a:r>
            <a:r>
              <a:rPr lang="en-US" sz="1100" b="1" baseline="0"/>
              <a:t> for problem finding (1-10) and problem exploring (11-20)</a:t>
            </a:r>
            <a:endParaRPr lang="en-US" sz="1100" b="1"/>
          </a:p>
        </c:rich>
      </c:tx>
      <c:layout>
        <c:manualLayout>
          <c:xMode val="edge"/>
          <c:yMode val="edge"/>
          <c:x val="0.18212578828316198"/>
          <c:y val="1.1819019174962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BLEU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Sheet2!$I$2:$I$21</c:f>
              <c:numCache>
                <c:formatCode>General</c:formatCode>
                <c:ptCount val="20"/>
                <c:pt idx="0">
                  <c:v>0.31879831764733507</c:v>
                </c:pt>
                <c:pt idx="1">
                  <c:v>0.59282980137146979</c:v>
                </c:pt>
                <c:pt idx="2">
                  <c:v>0.56460159523593301</c:v>
                </c:pt>
                <c:pt idx="3">
                  <c:v>0.69567167294524301</c:v>
                </c:pt>
                <c:pt idx="4">
                  <c:v>0.31869018372152497</c:v>
                </c:pt>
                <c:pt idx="5">
                  <c:v>0.32432542569851425</c:v>
                </c:pt>
                <c:pt idx="6">
                  <c:v>0.3894785320077076</c:v>
                </c:pt>
                <c:pt idx="7">
                  <c:v>0.33975360176263952</c:v>
                </c:pt>
                <c:pt idx="8">
                  <c:v>0.32025598602712563</c:v>
                </c:pt>
                <c:pt idx="9">
                  <c:v>0.35612222324305731</c:v>
                </c:pt>
                <c:pt idx="10">
                  <c:v>0.68176664604511261</c:v>
                </c:pt>
                <c:pt idx="11">
                  <c:v>0.73788268658607936</c:v>
                </c:pt>
                <c:pt idx="12">
                  <c:v>0.47694975149532559</c:v>
                </c:pt>
                <c:pt idx="13">
                  <c:v>0.3894785320077076</c:v>
                </c:pt>
                <c:pt idx="14">
                  <c:v>0.40517814398304308</c:v>
                </c:pt>
                <c:pt idx="15">
                  <c:v>0.40120193244194391</c:v>
                </c:pt>
                <c:pt idx="16">
                  <c:v>0.33270934470877217</c:v>
                </c:pt>
                <c:pt idx="17">
                  <c:v>0.38609583710384032</c:v>
                </c:pt>
                <c:pt idx="18">
                  <c:v>0.32020010691269413</c:v>
                </c:pt>
                <c:pt idx="19">
                  <c:v>0.36484115071397644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7-4B43-BD8A-D62FB31BCCD1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BERT_P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Sheet2!$J$2:$J$21</c:f>
              <c:numCache>
                <c:formatCode>General</c:formatCode>
                <c:ptCount val="20"/>
                <c:pt idx="0">
                  <c:v>0.72146322727203371</c:v>
                </c:pt>
                <c:pt idx="1">
                  <c:v>0.81890335083007815</c:v>
                </c:pt>
                <c:pt idx="2">
                  <c:v>0.73806180953979494</c:v>
                </c:pt>
                <c:pt idx="3">
                  <c:v>0.92649718523025515</c:v>
                </c:pt>
                <c:pt idx="4">
                  <c:v>0.69553598165512087</c:v>
                </c:pt>
                <c:pt idx="5">
                  <c:v>0.60480120182037345</c:v>
                </c:pt>
                <c:pt idx="6">
                  <c:v>0.81760200262069704</c:v>
                </c:pt>
                <c:pt idx="7">
                  <c:v>0.79626032114028933</c:v>
                </c:pt>
                <c:pt idx="8">
                  <c:v>0.74100574254989626</c:v>
                </c:pt>
                <c:pt idx="9">
                  <c:v>0.93766775131225588</c:v>
                </c:pt>
                <c:pt idx="10">
                  <c:v>0.99680336713790896</c:v>
                </c:pt>
                <c:pt idx="11">
                  <c:v>0.9162477493286133</c:v>
                </c:pt>
                <c:pt idx="12">
                  <c:v>0.84037640094757082</c:v>
                </c:pt>
                <c:pt idx="13">
                  <c:v>0.8713329076766968</c:v>
                </c:pt>
                <c:pt idx="14">
                  <c:v>0.93783106803894045</c:v>
                </c:pt>
                <c:pt idx="15">
                  <c:v>0.90054448843002322</c:v>
                </c:pt>
                <c:pt idx="16">
                  <c:v>0.81245073080062868</c:v>
                </c:pt>
                <c:pt idx="17">
                  <c:v>0.90008732080459597</c:v>
                </c:pt>
                <c:pt idx="18">
                  <c:v>0.77574326992034914</c:v>
                </c:pt>
                <c:pt idx="19">
                  <c:v>0.96704151630401614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7-4B43-BD8A-D62FB31BCCD1}"/>
            </c:ext>
          </c:extLst>
        </c:ser>
        <c:ser>
          <c:idx val="2"/>
          <c:order val="2"/>
          <c:tx>
            <c:strRef>
              <c:f>Sheet2!$K$1</c:f>
              <c:strCache>
                <c:ptCount val="1"/>
                <c:pt idx="0">
                  <c:v>BERT_R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Sheet2!$K$2:$K$21</c:f>
              <c:numCache>
                <c:formatCode>General</c:formatCode>
                <c:ptCount val="20"/>
                <c:pt idx="0">
                  <c:v>0.71574916839599612</c:v>
                </c:pt>
                <c:pt idx="1">
                  <c:v>0.88234367370605471</c:v>
                </c:pt>
                <c:pt idx="2">
                  <c:v>0.82125993967056277</c:v>
                </c:pt>
                <c:pt idx="3">
                  <c:v>0.97345628738403323</c:v>
                </c:pt>
                <c:pt idx="4">
                  <c:v>0.67339667081832888</c:v>
                </c:pt>
                <c:pt idx="5">
                  <c:v>0.69318344593048098</c:v>
                </c:pt>
                <c:pt idx="6">
                  <c:v>0.88757153749465945</c:v>
                </c:pt>
                <c:pt idx="7">
                  <c:v>0.872939670085907</c:v>
                </c:pt>
                <c:pt idx="8">
                  <c:v>0.74222531318664553</c:v>
                </c:pt>
                <c:pt idx="9">
                  <c:v>0.92618664503097536</c:v>
                </c:pt>
                <c:pt idx="10">
                  <c:v>0.87064433097839355</c:v>
                </c:pt>
                <c:pt idx="11">
                  <c:v>0.94113143682479861</c:v>
                </c:pt>
                <c:pt idx="12">
                  <c:v>0.87778749465942385</c:v>
                </c:pt>
                <c:pt idx="13">
                  <c:v>0.84700837135314944</c:v>
                </c:pt>
                <c:pt idx="14">
                  <c:v>0.97769048213958742</c:v>
                </c:pt>
                <c:pt idx="15">
                  <c:v>0.94772067070007326</c:v>
                </c:pt>
                <c:pt idx="16">
                  <c:v>0.81230994462966921</c:v>
                </c:pt>
                <c:pt idx="17">
                  <c:v>0.91620304584503176</c:v>
                </c:pt>
                <c:pt idx="18">
                  <c:v>0.775022828578949</c:v>
                </c:pt>
                <c:pt idx="19">
                  <c:v>0.98314323425292971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7-4B43-BD8A-D62FB31BCCD1}"/>
            </c:ext>
          </c:extLst>
        </c:ser>
        <c:ser>
          <c:idx val="3"/>
          <c:order val="3"/>
          <c:tx>
            <c:strRef>
              <c:f>Sheet2!$L$1</c:f>
              <c:strCache>
                <c:ptCount val="1"/>
                <c:pt idx="0">
                  <c:v>BERT_F1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Sheet2!$L$2:$L$21</c:f>
              <c:numCache>
                <c:formatCode>General</c:formatCode>
                <c:ptCount val="20"/>
                <c:pt idx="0">
                  <c:v>0.71859183311462405</c:v>
                </c:pt>
                <c:pt idx="1">
                  <c:v>0.84918739795684817</c:v>
                </c:pt>
                <c:pt idx="2">
                  <c:v>0.77691265344619753</c:v>
                </c:pt>
                <c:pt idx="3">
                  <c:v>0.94928767681121828</c:v>
                </c:pt>
                <c:pt idx="4">
                  <c:v>0.68423708677291872</c:v>
                </c:pt>
                <c:pt idx="5">
                  <c:v>0.64507871270179751</c:v>
                </c:pt>
                <c:pt idx="6">
                  <c:v>0.8508447051048279</c:v>
                </c:pt>
                <c:pt idx="7">
                  <c:v>0.83245285749435427</c:v>
                </c:pt>
                <c:pt idx="8">
                  <c:v>0.74161484241485598</c:v>
                </c:pt>
                <c:pt idx="9">
                  <c:v>0.93188502788543703</c:v>
                </c:pt>
                <c:pt idx="10">
                  <c:v>0.85855835676193237</c:v>
                </c:pt>
                <c:pt idx="11">
                  <c:v>0.92849072217941286</c:v>
                </c:pt>
                <c:pt idx="12">
                  <c:v>0.85858848094940188</c:v>
                </c:pt>
                <c:pt idx="13">
                  <c:v>0.85896208286285403</c:v>
                </c:pt>
                <c:pt idx="14">
                  <c:v>0.95726909637451174</c:v>
                </c:pt>
                <c:pt idx="15">
                  <c:v>0.92341377735137942</c:v>
                </c:pt>
                <c:pt idx="16">
                  <c:v>0.81238033771514895</c:v>
                </c:pt>
                <c:pt idx="17">
                  <c:v>0.90805950164794924</c:v>
                </c:pt>
                <c:pt idx="18">
                  <c:v>0.77538290023803713</c:v>
                </c:pt>
                <c:pt idx="19">
                  <c:v>0.97501387596130373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7-4B43-BD8A-D62FB31BCCD1}"/>
            </c:ext>
          </c:extLst>
        </c:ser>
        <c:ser>
          <c:idx val="4"/>
          <c:order val="4"/>
          <c:tx>
            <c:strRef>
              <c:f>Sheet2!$M$1</c:f>
              <c:strCache>
                <c:ptCount val="1"/>
                <c:pt idx="0">
                  <c:v>LSTM_Score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Sheet2!$M$2:$M$21</c:f>
              <c:numCache>
                <c:formatCode>General</c:formatCode>
                <c:ptCount val="20"/>
                <c:pt idx="0">
                  <c:v>0.99902909994125366</c:v>
                </c:pt>
                <c:pt idx="1">
                  <c:v>0.99629545211791992</c:v>
                </c:pt>
                <c:pt idx="2">
                  <c:v>0.98127144575119019</c:v>
                </c:pt>
                <c:pt idx="3">
                  <c:v>0.9960249662399292</c:v>
                </c:pt>
                <c:pt idx="4">
                  <c:v>0.99963462352752686</c:v>
                </c:pt>
                <c:pt idx="5">
                  <c:v>0.99691051244735718</c:v>
                </c:pt>
                <c:pt idx="6">
                  <c:v>0.99567723274230957</c:v>
                </c:pt>
                <c:pt idx="7">
                  <c:v>0.99869078397750854</c:v>
                </c:pt>
                <c:pt idx="8">
                  <c:v>0.9998176097869873</c:v>
                </c:pt>
                <c:pt idx="9">
                  <c:v>0.99997693300247192</c:v>
                </c:pt>
                <c:pt idx="10">
                  <c:v>0.98754775524139404</c:v>
                </c:pt>
                <c:pt idx="11">
                  <c:v>0.99550426006317139</c:v>
                </c:pt>
                <c:pt idx="12">
                  <c:v>0.98465168476104736</c:v>
                </c:pt>
                <c:pt idx="13">
                  <c:v>0.99867904186248779</c:v>
                </c:pt>
                <c:pt idx="14">
                  <c:v>0.99975991249084473</c:v>
                </c:pt>
                <c:pt idx="15">
                  <c:v>0.99986934661865234</c:v>
                </c:pt>
                <c:pt idx="16">
                  <c:v>0.99677658081054688</c:v>
                </c:pt>
                <c:pt idx="17">
                  <c:v>0.99853682518005371</c:v>
                </c:pt>
                <c:pt idx="18">
                  <c:v>0.99909323453903198</c:v>
                </c:pt>
                <c:pt idx="19">
                  <c:v>0.99990123510360718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7-4B43-BD8A-D62FB31B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9338976"/>
        <c:axId val="1459340224"/>
        <c:axId val="0"/>
      </c:bar3DChart>
      <c:catAx>
        <c:axId val="1459338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40224"/>
        <c:crosses val="autoZero"/>
        <c:auto val="1"/>
        <c:lblAlgn val="ctr"/>
        <c:lblOffset val="100"/>
        <c:noMultiLvlLbl val="0"/>
      </c:catAx>
      <c:valAx>
        <c:axId val="14593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3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4763</xdr:colOff>
      <xdr:row>0</xdr:row>
      <xdr:rowOff>171450</xdr:rowOff>
    </xdr:from>
    <xdr:to>
      <xdr:col>0</xdr:col>
      <xdr:colOff>6519863</xdr:colOff>
      <xdr:row>5</xdr:row>
      <xdr:rowOff>216695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D166D3-978B-433D-A270-E40893AFE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16CB-9328-4EA1-B9DA-07B542BD5958}">
  <dimension ref="A1:M22"/>
  <sheetViews>
    <sheetView topLeftCell="E1" zoomScale="91" zoomScaleNormal="91" workbookViewId="0">
      <selection activeCell="I22" sqref="I22:M22"/>
    </sheetView>
  </sheetViews>
  <sheetFormatPr defaultRowHeight="14.25" x14ac:dyDescent="0.45"/>
  <cols>
    <col min="1" max="1" width="91.33203125" customWidth="1"/>
    <col min="2" max="2" width="5.06640625" customWidth="1"/>
    <col min="3" max="3" width="17.19921875" customWidth="1"/>
    <col min="4" max="4" width="35.06640625" customWidth="1"/>
    <col min="5" max="5" width="36.3984375" customWidth="1"/>
    <col min="6" max="7" width="29.53125" customWidth="1"/>
    <col min="8" max="8" width="19.46484375" customWidth="1"/>
    <col min="13" max="13" width="11.19921875" customWidth="1"/>
  </cols>
  <sheetData>
    <row r="1" spans="1:13" x14ac:dyDescent="0.45">
      <c r="B1" s="1" t="s">
        <v>0</v>
      </c>
      <c r="C1" s="1" t="s">
        <v>1</v>
      </c>
      <c r="D1" s="1" t="s">
        <v>94</v>
      </c>
      <c r="E1" s="1" t="s">
        <v>95</v>
      </c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ht="57" x14ac:dyDescent="0.45"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>
        <v>0.31879831764733507</v>
      </c>
      <c r="J2" s="2">
        <v>0.72146322727203371</v>
      </c>
      <c r="K2" s="2">
        <v>0.71574916839599612</v>
      </c>
      <c r="L2" s="2">
        <v>0.71859183311462405</v>
      </c>
      <c r="M2" s="2">
        <v>0.99902909994125366</v>
      </c>
    </row>
    <row r="3" spans="1:13" ht="57" x14ac:dyDescent="0.45">
      <c r="B3" s="2">
        <v>2</v>
      </c>
      <c r="C3" s="2" t="s">
        <v>10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16</v>
      </c>
      <c r="I3" s="2">
        <v>0.59282980137146979</v>
      </c>
      <c r="J3" s="2">
        <v>0.81890335083007815</v>
      </c>
      <c r="K3" s="2">
        <v>0.88234367370605471</v>
      </c>
      <c r="L3" s="2">
        <v>0.84918739795684817</v>
      </c>
      <c r="M3" s="2">
        <v>0.99629545211791992</v>
      </c>
    </row>
    <row r="4" spans="1:13" ht="57" x14ac:dyDescent="0.45">
      <c r="B4" s="2">
        <v>3</v>
      </c>
      <c r="C4" s="2" t="s">
        <v>10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20</v>
      </c>
      <c r="I4" s="2">
        <v>0.56460159523593301</v>
      </c>
      <c r="J4" s="2">
        <v>0.73806180953979494</v>
      </c>
      <c r="K4" s="2">
        <v>0.82125993967056277</v>
      </c>
      <c r="L4" s="2">
        <v>0.77691265344619753</v>
      </c>
      <c r="M4" s="2">
        <v>0.98127144575119019</v>
      </c>
    </row>
    <row r="5" spans="1:13" ht="57" x14ac:dyDescent="0.45">
      <c r="B5" s="2">
        <v>4</v>
      </c>
      <c r="C5" s="2" t="s">
        <v>10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24</v>
      </c>
      <c r="I5" s="2">
        <v>0.69567167294524301</v>
      </c>
      <c r="J5" s="2">
        <v>0.92649718523025515</v>
      </c>
      <c r="K5" s="2">
        <v>0.97345628738403323</v>
      </c>
      <c r="L5" s="2">
        <v>0.94928767681121828</v>
      </c>
      <c r="M5" s="2">
        <v>0.9960249662399292</v>
      </c>
    </row>
    <row r="6" spans="1:13" ht="57" x14ac:dyDescent="0.45">
      <c r="B6" s="2">
        <v>5</v>
      </c>
      <c r="C6" s="2" t="s">
        <v>10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28</v>
      </c>
      <c r="I6" s="2">
        <v>0.31869018372152497</v>
      </c>
      <c r="J6" s="2">
        <v>0.69553598165512087</v>
      </c>
      <c r="K6" s="2">
        <v>0.67339667081832888</v>
      </c>
      <c r="L6" s="2">
        <v>0.68423708677291872</v>
      </c>
      <c r="M6" s="2">
        <v>0.99963462352752686</v>
      </c>
    </row>
    <row r="7" spans="1:13" ht="85.5" x14ac:dyDescent="0.45">
      <c r="A7" s="2" t="s">
        <v>92</v>
      </c>
      <c r="B7" s="2">
        <v>6</v>
      </c>
      <c r="C7" s="2" t="s">
        <v>10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32</v>
      </c>
      <c r="I7" s="2">
        <v>0.32432542569851425</v>
      </c>
      <c r="J7" s="2">
        <v>0.60480120182037345</v>
      </c>
      <c r="K7" s="2">
        <v>0.69318344593048098</v>
      </c>
      <c r="L7" s="2">
        <v>0.64507871270179751</v>
      </c>
      <c r="M7" s="2">
        <v>0.99691051244735718</v>
      </c>
    </row>
    <row r="8" spans="1:13" ht="57" x14ac:dyDescent="0.45">
      <c r="A8" s="5" t="s">
        <v>93</v>
      </c>
      <c r="B8" s="2">
        <v>7</v>
      </c>
      <c r="C8" s="2" t="s">
        <v>10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36</v>
      </c>
      <c r="I8" s="2">
        <v>0.3894785320077076</v>
      </c>
      <c r="J8" s="2">
        <v>0.81760200262069704</v>
      </c>
      <c r="K8" s="2">
        <v>0.88757153749465945</v>
      </c>
      <c r="L8" s="2">
        <v>0.8508447051048279</v>
      </c>
      <c r="M8" s="2">
        <v>0.99567723274230957</v>
      </c>
    </row>
    <row r="9" spans="1:13" ht="42.75" x14ac:dyDescent="0.45">
      <c r="A9" s="4"/>
      <c r="B9" s="2">
        <v>8</v>
      </c>
      <c r="C9" s="2" t="s">
        <v>10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40</v>
      </c>
      <c r="I9" s="2">
        <v>0.33975360176263952</v>
      </c>
      <c r="J9" s="2">
        <v>0.79626032114028933</v>
      </c>
      <c r="K9" s="2">
        <v>0.872939670085907</v>
      </c>
      <c r="L9" s="2">
        <v>0.83245285749435427</v>
      </c>
      <c r="M9" s="2">
        <v>0.99869078397750854</v>
      </c>
    </row>
    <row r="10" spans="1:13" ht="42.75" x14ac:dyDescent="0.45">
      <c r="A10" s="4"/>
      <c r="B10" s="2">
        <v>9</v>
      </c>
      <c r="C10" s="2" t="s">
        <v>10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44</v>
      </c>
      <c r="I10" s="2">
        <v>0.32025598602712563</v>
      </c>
      <c r="J10" s="2">
        <v>0.74100574254989626</v>
      </c>
      <c r="K10" s="2">
        <v>0.74222531318664553</v>
      </c>
      <c r="L10" s="2">
        <v>0.74161484241485598</v>
      </c>
      <c r="M10" s="2">
        <v>0.9998176097869873</v>
      </c>
    </row>
    <row r="11" spans="1:13" ht="42.75" x14ac:dyDescent="0.45">
      <c r="B11" s="2">
        <v>10</v>
      </c>
      <c r="C11" s="2" t="s">
        <v>10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48</v>
      </c>
      <c r="I11" s="2">
        <v>0.35612222324305731</v>
      </c>
      <c r="J11" s="2">
        <v>0.93766775131225588</v>
      </c>
      <c r="K11" s="2">
        <v>0.92618664503097536</v>
      </c>
      <c r="L11" s="2">
        <v>0.93188502788543703</v>
      </c>
      <c r="M11" s="2">
        <v>0.99997693300247192</v>
      </c>
    </row>
    <row r="12" spans="1:13" ht="57" x14ac:dyDescent="0.45">
      <c r="B12" s="2">
        <v>11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53</v>
      </c>
      <c r="I12" s="2">
        <v>0.68176664604511261</v>
      </c>
      <c r="J12" s="2">
        <v>0.99680336713790896</v>
      </c>
      <c r="K12" s="2">
        <v>0.87064433097839355</v>
      </c>
      <c r="L12" s="2">
        <v>0.85855835676193237</v>
      </c>
      <c r="M12" s="2">
        <v>0.98754775524139404</v>
      </c>
    </row>
    <row r="13" spans="1:13" ht="57" x14ac:dyDescent="0.45">
      <c r="B13" s="2">
        <v>12</v>
      </c>
      <c r="C13" s="2" t="s">
        <v>51</v>
      </c>
      <c r="D13" s="2" t="s">
        <v>56</v>
      </c>
      <c r="E13" s="2" t="s">
        <v>57</v>
      </c>
      <c r="F13" s="2" t="s">
        <v>58</v>
      </c>
      <c r="G13" s="2" t="s">
        <v>59</v>
      </c>
      <c r="H13" s="2" t="s">
        <v>57</v>
      </c>
      <c r="I13" s="2">
        <v>0.73788268658607936</v>
      </c>
      <c r="J13" s="2">
        <v>0.9162477493286133</v>
      </c>
      <c r="K13" s="2">
        <v>0.94113143682479861</v>
      </c>
      <c r="L13" s="2">
        <v>0.92849072217941286</v>
      </c>
      <c r="M13" s="2">
        <v>0.99550426006317139</v>
      </c>
    </row>
    <row r="14" spans="1:13" ht="57" x14ac:dyDescent="0.45">
      <c r="B14" s="2">
        <v>13</v>
      </c>
      <c r="C14" s="2" t="s">
        <v>51</v>
      </c>
      <c r="D14" s="2" t="s">
        <v>60</v>
      </c>
      <c r="E14" s="2" t="s">
        <v>61</v>
      </c>
      <c r="F14" s="2" t="s">
        <v>62</v>
      </c>
      <c r="G14" s="2" t="s">
        <v>63</v>
      </c>
      <c r="H14" s="2" t="s">
        <v>61</v>
      </c>
      <c r="I14" s="2">
        <v>0.47694975149532559</v>
      </c>
      <c r="J14" s="2">
        <v>0.84037640094757082</v>
      </c>
      <c r="K14" s="2">
        <v>0.87778749465942385</v>
      </c>
      <c r="L14" s="2">
        <v>0.85858848094940188</v>
      </c>
      <c r="M14" s="2">
        <v>0.98465168476104736</v>
      </c>
    </row>
    <row r="15" spans="1:13" ht="71.25" x14ac:dyDescent="0.45">
      <c r="B15" s="2">
        <v>14</v>
      </c>
      <c r="C15" s="2" t="s">
        <v>51</v>
      </c>
      <c r="D15" s="2" t="s">
        <v>64</v>
      </c>
      <c r="E15" s="2" t="s">
        <v>65</v>
      </c>
      <c r="F15" s="2" t="s">
        <v>66</v>
      </c>
      <c r="G15" s="2" t="s">
        <v>67</v>
      </c>
      <c r="H15" s="2" t="s">
        <v>65</v>
      </c>
      <c r="I15" s="2">
        <v>0.3894785320077076</v>
      </c>
      <c r="J15" s="2">
        <v>0.8713329076766968</v>
      </c>
      <c r="K15" s="2">
        <v>0.84700837135314944</v>
      </c>
      <c r="L15" s="2">
        <v>0.85896208286285403</v>
      </c>
      <c r="M15" s="2">
        <v>0.99867904186248779</v>
      </c>
    </row>
    <row r="16" spans="1:13" ht="57" x14ac:dyDescent="0.45">
      <c r="B16" s="2">
        <v>15</v>
      </c>
      <c r="C16" s="2" t="s">
        <v>51</v>
      </c>
      <c r="D16" s="2" t="s">
        <v>68</v>
      </c>
      <c r="E16" s="2" t="s">
        <v>69</v>
      </c>
      <c r="F16" s="2" t="s">
        <v>70</v>
      </c>
      <c r="G16" s="2" t="s">
        <v>71</v>
      </c>
      <c r="H16" s="2" t="s">
        <v>69</v>
      </c>
      <c r="I16" s="2">
        <v>0.40517814398304308</v>
      </c>
      <c r="J16" s="2">
        <v>0.93783106803894045</v>
      </c>
      <c r="K16" s="2">
        <v>0.97769048213958742</v>
      </c>
      <c r="L16" s="2">
        <v>0.95726909637451174</v>
      </c>
      <c r="M16" s="2">
        <v>0.99975991249084473</v>
      </c>
    </row>
    <row r="17" spans="2:13" ht="57" x14ac:dyDescent="0.45">
      <c r="B17" s="2">
        <v>16</v>
      </c>
      <c r="C17" s="2" t="s">
        <v>51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73</v>
      </c>
      <c r="I17" s="2">
        <v>0.40120193244194391</v>
      </c>
      <c r="J17" s="2">
        <v>0.90054448843002322</v>
      </c>
      <c r="K17" s="2">
        <v>0.94772067070007326</v>
      </c>
      <c r="L17" s="2">
        <v>0.92341377735137942</v>
      </c>
      <c r="M17" s="2">
        <v>0.99986934661865234</v>
      </c>
    </row>
    <row r="18" spans="2:13" ht="57" x14ac:dyDescent="0.45">
      <c r="B18" s="2">
        <v>17</v>
      </c>
      <c r="C18" s="2" t="s">
        <v>51</v>
      </c>
      <c r="D18" s="2" t="s">
        <v>76</v>
      </c>
      <c r="E18" s="2" t="s">
        <v>77</v>
      </c>
      <c r="F18" s="2" t="s">
        <v>78</v>
      </c>
      <c r="G18" s="2" t="s">
        <v>79</v>
      </c>
      <c r="H18" s="2" t="s">
        <v>77</v>
      </c>
      <c r="I18" s="2">
        <v>0.33270934470877217</v>
      </c>
      <c r="J18" s="2">
        <v>0.81245073080062868</v>
      </c>
      <c r="K18" s="2">
        <v>0.81230994462966921</v>
      </c>
      <c r="L18" s="2">
        <v>0.81238033771514895</v>
      </c>
      <c r="M18" s="2">
        <v>0.99677658081054688</v>
      </c>
    </row>
    <row r="19" spans="2:13" ht="57" x14ac:dyDescent="0.45">
      <c r="B19" s="2">
        <v>18</v>
      </c>
      <c r="C19" s="2" t="s">
        <v>51</v>
      </c>
      <c r="D19" s="2" t="s">
        <v>80</v>
      </c>
      <c r="E19" s="2" t="s">
        <v>81</v>
      </c>
      <c r="F19" s="2" t="s">
        <v>82</v>
      </c>
      <c r="G19" s="2" t="s">
        <v>83</v>
      </c>
      <c r="H19" s="2" t="s">
        <v>81</v>
      </c>
      <c r="I19" s="2">
        <v>0.38609583710384032</v>
      </c>
      <c r="J19" s="2">
        <v>0.90008732080459597</v>
      </c>
      <c r="K19" s="2">
        <v>0.91620304584503176</v>
      </c>
      <c r="L19" s="2">
        <v>0.90805950164794924</v>
      </c>
      <c r="M19" s="2">
        <v>0.99853682518005371</v>
      </c>
    </row>
    <row r="20" spans="2:13" ht="57" x14ac:dyDescent="0.45">
      <c r="B20" s="2">
        <v>19</v>
      </c>
      <c r="C20" s="2" t="s">
        <v>51</v>
      </c>
      <c r="D20" s="2" t="s">
        <v>84</v>
      </c>
      <c r="E20" s="2" t="s">
        <v>85</v>
      </c>
      <c r="F20" s="2" t="s">
        <v>86</v>
      </c>
      <c r="G20" s="2" t="s">
        <v>87</v>
      </c>
      <c r="H20" s="2" t="s">
        <v>85</v>
      </c>
      <c r="I20" s="2">
        <v>0.32020010691269413</v>
      </c>
      <c r="J20" s="2">
        <v>0.77574326992034914</v>
      </c>
      <c r="K20" s="2">
        <v>0.775022828578949</v>
      </c>
      <c r="L20" s="2">
        <v>0.77538290023803713</v>
      </c>
      <c r="M20" s="2">
        <v>0.99909323453903198</v>
      </c>
    </row>
    <row r="21" spans="2:13" ht="57" x14ac:dyDescent="0.45">
      <c r="B21" s="2">
        <v>20</v>
      </c>
      <c r="C21" s="2" t="s">
        <v>51</v>
      </c>
      <c r="D21" s="2" t="s">
        <v>88</v>
      </c>
      <c r="E21" s="2" t="s">
        <v>89</v>
      </c>
      <c r="F21" s="2" t="s">
        <v>90</v>
      </c>
      <c r="G21" s="2" t="s">
        <v>91</v>
      </c>
      <c r="H21" s="2" t="s">
        <v>89</v>
      </c>
      <c r="I21" s="2">
        <v>0.36484115071397644</v>
      </c>
      <c r="J21" s="2">
        <v>0.96704151630401614</v>
      </c>
      <c r="K21" s="2">
        <v>0.98314323425292971</v>
      </c>
      <c r="L21" s="2">
        <v>0.97501387596130373</v>
      </c>
      <c r="M21" s="2">
        <v>0.99990123510360718</v>
      </c>
    </row>
    <row r="22" spans="2:13" x14ac:dyDescent="0.45">
      <c r="I22">
        <f>AVERAGE(I2:I21)</f>
        <v>0.43584157358295228</v>
      </c>
      <c r="J22">
        <f t="shared" ref="J22:M22" si="0">AVERAGE(J2:J21)</f>
        <v>0.83581286966800705</v>
      </c>
      <c r="K22">
        <f t="shared" si="0"/>
        <v>0.85684870958328252</v>
      </c>
      <c r="L22">
        <f t="shared" si="0"/>
        <v>0.84181059628725075</v>
      </c>
      <c r="M22">
        <f t="shared" si="0"/>
        <v>0.99618242681026459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2855-396A-43ED-8061-3A961A7220FC}">
  <dimension ref="A1:I3"/>
  <sheetViews>
    <sheetView tabSelected="1" workbookViewId="0">
      <selection activeCell="E8" sqref="E8"/>
    </sheetView>
  </sheetViews>
  <sheetFormatPr defaultRowHeight="14.25" x14ac:dyDescent="0.45"/>
  <cols>
    <col min="1" max="1" width="14.265625" customWidth="1"/>
    <col min="3" max="3" width="13.53125" customWidth="1"/>
    <col min="4" max="4" width="14.86328125" customWidth="1"/>
    <col min="5" max="5" width="10.33203125" customWidth="1"/>
  </cols>
  <sheetData>
    <row r="1" spans="1:9" x14ac:dyDescent="0.45">
      <c r="A1" t="s">
        <v>96</v>
      </c>
      <c r="B1" t="s">
        <v>5</v>
      </c>
      <c r="C1" t="s">
        <v>98</v>
      </c>
      <c r="D1" t="s">
        <v>99</v>
      </c>
      <c r="E1" t="s">
        <v>100</v>
      </c>
      <c r="F1" t="s">
        <v>104</v>
      </c>
      <c r="G1" t="s">
        <v>101</v>
      </c>
      <c r="H1" t="s">
        <v>102</v>
      </c>
      <c r="I1" t="s">
        <v>103</v>
      </c>
    </row>
    <row r="2" spans="1:9" ht="15.75" customHeight="1" x14ac:dyDescent="0.45">
      <c r="A2" t="s">
        <v>97</v>
      </c>
    </row>
    <row r="3" spans="1:9" ht="28.5" x14ac:dyDescent="0.45">
      <c r="A3" s="2" t="s">
        <v>105</v>
      </c>
      <c r="B3">
        <v>0.43584157358295228</v>
      </c>
      <c r="C3">
        <v>0.83581286966800705</v>
      </c>
      <c r="D3">
        <v>0.85684870958328252</v>
      </c>
      <c r="E3">
        <v>0.84181059628725075</v>
      </c>
      <c r="F3">
        <v>0.99618242681026459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vinsakharisma123@g.ncu.edu.tw</cp:lastModifiedBy>
  <dcterms:created xsi:type="dcterms:W3CDTF">2026-01-08T09:57:35Z</dcterms:created>
  <dcterms:modified xsi:type="dcterms:W3CDTF">2026-01-17T03:55:09Z</dcterms:modified>
</cp:coreProperties>
</file>