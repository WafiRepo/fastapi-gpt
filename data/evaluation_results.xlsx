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6cdde905ac5d59f/Documents/meeting/3rd study/evaluation/"/>
    </mc:Choice>
  </mc:AlternateContent>
  <xr:revisionPtr revIDLastSave="1" documentId="8_{1254A5DB-27BD-401E-8202-946F74B78469}" xr6:coauthVersionLast="47" xr6:coauthVersionMax="47" xr10:uidLastSave="{876BE77D-4195-468E-805E-F3DBCDE15979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" i="1" l="1"/>
  <c r="P12" i="1"/>
  <c r="P2" i="1"/>
  <c r="Q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</calcChain>
</file>

<file path=xl/sharedStrings.xml><?xml version="1.0" encoding="utf-8"?>
<sst xmlns="http://schemas.openxmlformats.org/spreadsheetml/2006/main" count="755" uniqueCount="399">
  <si>
    <t>No</t>
  </si>
  <si>
    <t>Stage</t>
  </si>
  <si>
    <t>Prompt</t>
  </si>
  <si>
    <t>Few Shot</t>
  </si>
  <si>
    <t>Output</t>
  </si>
  <si>
    <t>generated</t>
  </si>
  <si>
    <t>reference</t>
  </si>
  <si>
    <t>BLEU</t>
  </si>
  <si>
    <t>BERT_P</t>
  </si>
  <si>
    <t>BERT_R</t>
  </si>
  <si>
    <t>BERT_F1</t>
  </si>
  <si>
    <t>LSTM_Score</t>
  </si>
  <si>
    <t>problem_finding</t>
  </si>
  <si>
    <t>Generate an inquiry question in English for the problem-finding stage about centripetal acceleration.</t>
  </si>
  <si>
    <t>Ask students to mention an everyday situation where circular motion occurs.</t>
  </si>
  <si>
    <t>{"inquiry":"What everyday activity around you involves an object moving in a circular path?"}</t>
  </si>
  <si>
    <t>What everyday activity around you involves an object moving in a circular path?</t>
  </si>
  <si>
    <t>Generate an inquiry question in English that helps students identify circular motion in daily life.</t>
  </si>
  <si>
    <t>Ask what prevents an object moving in a circle from continuing in a straight line.</t>
  </si>
  <si>
    <t>{"inquiry":"When you see an object moving in a circle, what keeps it from flying straight away?"}</t>
  </si>
  <si>
    <t>When you see an object moving in a circle, what keeps it from flying straight away?</t>
  </si>
  <si>
    <t>Create a problem-finding inquiry question that encourages students to observe circular motion around them.</t>
  </si>
  <si>
    <t>Ask students to find an example of circular motion in their surroundings.</t>
  </si>
  <si>
    <t>{"inquiry":"Can you find an example of circular motion at home or school that you observe every day?"}</t>
  </si>
  <si>
    <t>Can you find an example of circular motion at home or school that you observe every day?</t>
  </si>
  <si>
    <t>Generate a simple inquiry question that probes students’ thinking about why circular motion occurs.</t>
  </si>
  <si>
    <t>Ask why objects moving in a circle do not follow a straight path.</t>
  </si>
  <si>
    <t>{"inquiry":"Why do you think objects moving in a circle do not move in a straight line?"}</t>
  </si>
  <si>
    <t>Why do you think objects moving in a circle do not move in a straight line?</t>
  </si>
  <si>
    <t>Create an inquiry question that asks students to identify rotating objects in their environment.</t>
  </si>
  <si>
    <t>Ask students to name common objects that rotate or move in circles.</t>
  </si>
  <si>
    <t>{"inquiry":"Which common devices around you involve rotation or circular motion?"}</t>
  </si>
  <si>
    <t>Which common devices around you involve rotation or circular motion?</t>
  </si>
  <si>
    <t>Generate an inquiry question that connects turning motion with physical sensation.</t>
  </si>
  <si>
    <t>Ask students about the feeling experienced when turning quickly.</t>
  </si>
  <si>
    <t>{"inquiry":"Have you ever felt pulled inward or outward while turning quickly? What might cause that?"}</t>
  </si>
  <si>
    <t>Have you ever felt pulled inward or outward while turning quickly? What might cause that?</t>
  </si>
  <si>
    <t>Create a question that helps students think about what maintains circular motion.</t>
  </si>
  <si>
    <t>Ask what happens if the force causing circular motion is removed.</t>
  </si>
  <si>
    <t>{"inquiry":"What happens to an object if the force keeping it in circular motion suddenly disappears?"}</t>
  </si>
  <si>
    <t>What happens to an object if the force keeping it in circular motion suddenly disappears?</t>
  </si>
  <si>
    <t>Generate an inquiry question that challenges the idea that acceleration always requires changing speed.</t>
  </si>
  <si>
    <t>Ask whether circular motion can occur at constant speed.</t>
  </si>
  <si>
    <t>{"inquiry":"Can circular motion occur even if the speed of an object is constant?"}</t>
  </si>
  <si>
    <t>Can circular motion occur even if the speed of an object is constant?</t>
  </si>
  <si>
    <t>Create a question that encourages students to classify types of motion they observe.</t>
  </si>
  <si>
    <t>Ask students to identify motions that involve continuous turning.</t>
  </si>
  <si>
    <t>{"inquiry":"What kinds of motion involve constant turning rather than straight movement?"}</t>
  </si>
  <si>
    <t>What kinds of motion involve constant turning rather than straight movement?</t>
  </si>
  <si>
    <t>Generate a real-world inquiry question related to vehicles and turning.</t>
  </si>
  <si>
    <t>Ask why vehicles reduce speed when making sharp turns.</t>
  </si>
  <si>
    <t>{"inquiry":"Why do vehicles slow down when taking sharp turns?"}</t>
  </si>
  <si>
    <t>Why do vehicles slow down when taking sharp turns?</t>
  </si>
  <si>
    <t>problem_exploring</t>
  </si>
  <si>
    <t>Generate an inquiry question in English for the problem-exploring stage using the context of a rotating bicycle wheel.</t>
  </si>
  <si>
    <t>Ask about the direction of acceleration in a rotating bicycle wheel relative to its center.</t>
  </si>
  <si>
    <t>{"inquiry":"Explain the direction of the acceleration in a rotating bicycle wheel and its relation to the center."}</t>
  </si>
  <si>
    <t>Explain the direction of the acceleration in a rotating bicycle wheel and its relation to the center.</t>
  </si>
  <si>
    <t>Create an inquiry question that explores how rotation speed affects acceleration on a bicycle wheel.</t>
  </si>
  <si>
    <t>Ask how increasing wheel speed affects the acceleration of a point on the wheel.</t>
  </si>
  <si>
    <t>{"inquiry":"How does the acceleration of a point on the wheel change when the rotation speed increases?"}</t>
  </si>
  <si>
    <t>How does the acceleration of a point on the wheel change when the rotation speed increases?</t>
  </si>
  <si>
    <t>Generate an inquiry question analyzing centripetal acceleration at constant speed using a bicycle wheel.</t>
  </si>
  <si>
    <t>Ask why a point on the wheel still accelerates even when speed is constant.</t>
  </si>
  <si>
    <t>{"inquiry":"Why does a point on the rim of the wheel experience centripetal acceleration even at constant speed?"}</t>
  </si>
  <si>
    <t>Why does a point on the rim of the wheel experience centripetal acceleration even at constant speed?</t>
  </si>
  <si>
    <t>Create an inquiry question comparing different positions on a rotating wheel.</t>
  </si>
  <si>
    <t>Ask students to compare centripetal acceleration at different distances from the center.</t>
  </si>
  <si>
    <t>{"inquiry":"Compare the centripetal acceleration at the rim and near the center of the wheel."}</t>
  </si>
  <si>
    <t>Compare the centripetal acceleration at the rim and near the center of the wheel.</t>
  </si>
  <si>
    <t>Generate an inquiry question that examines the source of centripetal force in a rotating wheel.</t>
  </si>
  <si>
    <t>Ask what force causes the centripetal acceleration in the wheel.</t>
  </si>
  <si>
    <t>{"inquiry":"What force provides the centripetal acceleration for points on the rotating wheel?"}</t>
  </si>
  <si>
    <t>What force provides the centripetal acceleration for points on the rotating wheel?</t>
  </si>
  <si>
    <t>Create an inquiry question about how wheel radius affects centripetal acceleration.</t>
  </si>
  <si>
    <t>Ask how changing the wheel radius influences centripetal acceleration.</t>
  </si>
  <si>
    <t>{"inquiry":"If the wheel radius increases, how does the centripetal acceleration change?"}</t>
  </si>
  <si>
    <t>If the wheel radius increases, how does the centripetal acceleration change?</t>
  </si>
  <si>
    <t>Generate an inquiry question contrasting velocity and acceleration directions on a rotating wheel.</t>
  </si>
  <si>
    <t>Ask how the directions of velocity and acceleration differ in circular motion.</t>
  </si>
  <si>
    <t>{"inquiry":"How is the direction of velocity different from the direction of acceleration on the wheel?"}</t>
  </si>
  <si>
    <t>How is the direction of velocity different from the direction of acceleration on the wheel?</t>
  </si>
  <si>
    <t>Create an inquiry question exploring what happens when circular motion stops suddenly.</t>
  </si>
  <si>
    <t>Ask what happens to an object on the wheel if rotation suddenly stops.</t>
  </si>
  <si>
    <t>{"inquiry":"What would happen to a small object on the rim if the wheel suddenly stopped?"}</t>
  </si>
  <si>
    <t>What would happen to a small object on the rim if the wheel suddenly stopped?</t>
  </si>
  <si>
    <t>Generate an inquiry question encouraging experimental verification of acceleration in circular motion.</t>
  </si>
  <si>
    <t>Ask how an experiment can show acceleration during constant-speed circular motion.</t>
  </si>
  <si>
    <t>{"inquiry":"How can you experimentally show that acceleration exists even when speed is constant?"}</t>
  </si>
  <si>
    <t>How can you experimentally show that acceleration exists even when speed is constant?</t>
  </si>
  <si>
    <t>Create an inquiry question analyzing the perpendicular nature of centripetal acceleration.</t>
  </si>
  <si>
    <t>Ask why centripetal acceleration is perpendicular to velocity.</t>
  </si>
  <si>
    <t>{"inquiry":"Why is the centripetal acceleration always perpendicular to the velocity?"}</t>
  </si>
  <si>
    <t>Why is the centripetal acceleration always perpendicular to the velocity?</t>
  </si>
  <si>
    <t>Generate an inquiry question in English for the problem-finding stage that uses a playground context to notice circular motion.</t>
  </si>
  <si>
    <t>Ask students to recall a playground ride that spins.</t>
  </si>
  <si>
    <t>{"inquiry":"Which playground ride makes you move in a circle, and what do you notice about your body while it spins?"}</t>
  </si>
  <si>
    <t>Which playground ride makes you move in a circle, and what do you notice about your body while it spins?</t>
  </si>
  <si>
    <t>Ask students to recall a playground ride that spins and describe what they feel.</t>
  </si>
  <si>
    <t>Generate an inquiry question in English that helps students spot circular motion in kitchen tools.</t>
  </si>
  <si>
    <t>Ask students to name a kitchen tool that rotates.</t>
  </si>
  <si>
    <t>{"inquiry":"At home, which kitchen tool rotates, and what is moving in a circular path?"}</t>
  </si>
  <si>
    <t>At home, which kitchen tool rotates, and what is moving in a circular path?</t>
  </si>
  <si>
    <t>Ask students to identify a rotating kitchen tool and describe what moves in a circle.</t>
  </si>
  <si>
    <t>Create a problem-finding inquiry question that connects circular motion to laundry or cleaning activities.</t>
  </si>
  <si>
    <t>Ask students about spinning during washing or drying.</t>
  </si>
  <si>
    <t>{"inquiry":"Where do you see spinning motion in washing or drying clothes, and why might spinning be useful there?"}</t>
  </si>
  <si>
    <t>Where do you see spinning motion in washing or drying clothes, and why might spinning be useful there?</t>
  </si>
  <si>
    <t>Ask students to observe spinning in laundry and consider why it helps.</t>
  </si>
  <si>
    <t>Generate an inquiry question that uses sports to notice turning or rotating motion.</t>
  </si>
  <si>
    <t>Ask students to give a sports example of moving around a curve.</t>
  </si>
  <si>
    <t>{"inquiry":"In sports, when do you run or move around a curve, and what makes it harder than running straight?"}</t>
  </si>
  <si>
    <t>In sports, when do you run or move around a curve, and what makes it harder than running straight?</t>
  </si>
  <si>
    <t>Ask students to give a sports example of curved motion and compare it to straight motion.</t>
  </si>
  <si>
    <t>Create an inquiry question that highlights mud or water leaving a rotating object.</t>
  </si>
  <si>
    <t>Ask why water droplets fly off a spinning umbrella or tire.</t>
  </si>
  <si>
    <t>{"inquiry":"Why do water droplets fly off a spinning tire or umbrella instead of staying attached?"}</t>
  </si>
  <si>
    <t>Why do water droplets fly off a spinning tire or umbrella instead of staying attached?</t>
  </si>
  <si>
    <t>Ask why water/mud leaves a rotating object and what that suggests about motion.</t>
  </si>
  <si>
    <t>Generate a simple inquiry question about everyday turning while walking or running.</t>
  </si>
  <si>
    <t>Ask students about turning corners quickly.</t>
  </si>
  <si>
    <t>{"inquiry":"When you turn a corner quickly while running, what happens to your body, and why?"}</t>
  </si>
  <si>
    <t>When you turn a corner quickly while running, what happens to your body, and why?</t>
  </si>
  <si>
    <t>Ask students to connect quick turning with bodily effects.</t>
  </si>
  <si>
    <t>Create a problem-finding inquiry question using a pet or object on a leash/rope example.</t>
  </si>
  <si>
    <t>Ask what happens when a dog or toy is pulled around you on a leash.</t>
  </si>
  <si>
    <t>{"inquiry":"If you swing a ball on a string or a leash around you, what keeps it circling instead of flying away?"}</t>
  </si>
  <si>
    <t>If you swing a ball on a string or a leash around you, what keeps it circling instead of flying away?</t>
  </si>
  <si>
    <t>Ask students what keeps a tethered object moving in a circle.</t>
  </si>
  <si>
    <t>Generate an inquiry question about traffic patterns that involve circular motion.</t>
  </si>
  <si>
    <t>Ask students about roundabouts or U-turn loops.</t>
  </si>
  <si>
    <t>{"inquiry":"At a roundabout, why do vehicles follow a curved path rather than going straight through?"}</t>
  </si>
  <si>
    <t>At a roundabout, why do vehicles follow a curved path rather than going straight through?</t>
  </si>
  <si>
    <t>Ask students to relate road design to curved motion.</t>
  </si>
  <si>
    <t>Create an inquiry question based on amusement rides that spin or loop.</t>
  </si>
  <si>
    <t>Ask students to describe a spinning ride and what they feel.</t>
  </si>
  <si>
    <t>{"inquiry":"On a spinning amusement ride, what sensation do you feel, and what might cause it?"}</t>
  </si>
  <si>
    <t>On a spinning amusement ride, what sensation do you feel, and what might cause it?</t>
  </si>
  <si>
    <t>Ask students to describe sensations on spinning rides and propose a cause.</t>
  </si>
  <si>
    <t>Generate an inquiry question that uses a clock as an everyday circular-motion example.</t>
  </si>
  <si>
    <t>Ask students about the motion of clock hands.</t>
  </si>
  <si>
    <t>{"inquiry":"How do the tips of clock hands move, and what makes their path different from a straight line?"}</t>
  </si>
  <si>
    <t>How do the tips of clock hands move, and what makes their path different from a straight line?</t>
  </si>
  <si>
    <t>Ask students to identify circular motion in clock hands and describe the path.</t>
  </si>
  <si>
    <t>Create a problem-finding inquiry question using mixing or stirring liquids.</t>
  </si>
  <si>
    <t>Ask students about stirring a drink.</t>
  </si>
  <si>
    <t>{"inquiry":"When you stir a drink, what parts of the liquid move in circles, and what changes if you stir faster?"}</t>
  </si>
  <si>
    <t>When you stir a drink, what parts of the liquid move in circles, and what changes if you stir faster?</t>
  </si>
  <si>
    <t>Ask students to observe circular flow in stirring and consider speed effects.</t>
  </si>
  <si>
    <t>Generate an inquiry question that connects rotation to sound or vibration sources.</t>
  </si>
  <si>
    <t>Ask about spinning parts in devices that make sound.</t>
  </si>
  <si>
    <t>{"inquiry":"What device near you has a spinning part that produces sound, and how can you tell it is rotating?"}</t>
  </si>
  <si>
    <t>What device near you has a spinning part that produces sound, and how can you tell it is rotating?</t>
  </si>
  <si>
    <t>Ask students to identify a rotating component by observing sound/behavior.</t>
  </si>
  <si>
    <t>Create an inquiry question using a yo-yo or spinning top context.</t>
  </si>
  <si>
    <t>Ask students what they notice about spinning stability.</t>
  </si>
  <si>
    <t>{"inquiry":"Why does a spinning top stay upright longer than a top that spins slowly?"}</t>
  </si>
  <si>
    <t>Why does a spinning top stay upright longer than a top that spins slowly?</t>
  </si>
  <si>
    <t>Ask students to connect spin rate to stability in a spinning toy.</t>
  </si>
  <si>
    <t>Generate an inquiry question about water in a bucket swung in a circle.</t>
  </si>
  <si>
    <t>Ask students why water can stay in the bucket.</t>
  </si>
  <si>
    <t>{"inquiry":"If you swing a bucket of water in a vertical circle, why might the water not fall out at the top?"}</t>
  </si>
  <si>
    <t>If you swing a bucket of water in a vertical circle, why might the water not fall out at the top?</t>
  </si>
  <si>
    <t>Ask students to reason about water staying in a bucket during circular motion.</t>
  </si>
  <si>
    <t>Create an inquiry question that links circular motion to rotating doors or turnstiles.</t>
  </si>
  <si>
    <t>Ask what motion you follow when pushing a revolving door.</t>
  </si>
  <si>
    <t>{"inquiry":"When you push a revolving door, what path do you walk, and why must you keep pushing to stay moving?"}</t>
  </si>
  <si>
    <t>When you push a revolving door, what path do you walk, and why must you keep pushing to stay moving?</t>
  </si>
  <si>
    <t>Ask students to identify the path in a revolving door and what effort maintains it.</t>
  </si>
  <si>
    <t>Generate an inquiry question using a record player or rotating plate example.</t>
  </si>
  <si>
    <t>Ask students what moves in circles on a rotating surface.</t>
  </si>
  <si>
    <t>{"inquiry":"On a rotating plate or turntable, what happens to an object placed near the edge compared to near the center?"}</t>
  </si>
  <si>
    <t>On a rotating plate or turntable, what happens to an object placed near the edge compared to near the center?</t>
  </si>
  <si>
    <t>Ask students to compare edge vs center behavior on a rotating surface.</t>
  </si>
  <si>
    <t>Create a problem-finding inquiry question about swinging a jump rope.</t>
  </si>
  <si>
    <t>Ask what the rope is doing as it turns.</t>
  </si>
  <si>
    <t>{"inquiry":"When you swing a jump rope, what parts of the rope trace circular paths, and how do you control the motion?"}</t>
  </si>
  <si>
    <t>When you swing a jump rope, what parts of the rope trace circular paths, and how do you control the motion?</t>
  </si>
  <si>
    <t>Ask students to notice circular paths in rope motion and how control is applied.</t>
  </si>
  <si>
    <t>Generate an inquiry question about turning with a bicycle or motorcycle.</t>
  </si>
  <si>
    <t>Ask students what they do with their body to turn.</t>
  </si>
  <si>
    <t>{"inquiry":"When a bicycle or motorcycle turns, why do riders lean instead of staying upright?"}</t>
  </si>
  <si>
    <t>When a bicycle or motorcycle turns, why do riders lean instead of staying upright?</t>
  </si>
  <si>
    <t>Ask students to connect leaning with curved motion during a turn.</t>
  </si>
  <si>
    <t>Create a problem-finding inquiry question using a fan as a familiar rotating object but focuses on safety/guards.</t>
  </si>
  <si>
    <t>Ask why fans have covers or why fingers shouldn’t touch blades.</t>
  </si>
  <si>
    <t>{"inquiry":"Why is it dangerous to touch a spinning fan blade, and what does the blade’s motion tell you about speed and direction?"}</t>
  </si>
  <si>
    <t>Why is it dangerous to touch a spinning fan blade, and what does the blade’s motion tell you about speed and direction?</t>
  </si>
  <si>
    <t>Ask students to connect rotating blades with motion properties and safety.</t>
  </si>
  <si>
    <t>Generate an inquiry question involving satellites or planets as circular-motion examples.</t>
  </si>
  <si>
    <t>Ask students what keeps a moon or satellite orbiting.</t>
  </si>
  <si>
    <t>{"inquiry":"The Moon moves around Earth—what might keep it moving in that curved path instead of drifting away?"}</t>
  </si>
  <si>
    <t>The Moon moves around Earth—what might keep it moving in that curved path instead of drifting away?</t>
  </si>
  <si>
    <t>Ask students to hypothesize what maintains orbital motion.</t>
  </si>
  <si>
    <t>Create a problem-finding inquiry question using a rotating office chair.</t>
  </si>
  <si>
    <t>Ask students what they feel when they spin and stop.</t>
  </si>
  <si>
    <t>{"inquiry":"If you spin on a chair and then stop suddenly, what does your body feel, and what might explain that?"}</t>
  </si>
  <si>
    <t>If you spin on a chair and then stop suddenly, what does your body feel, and what might explain that?</t>
  </si>
  <si>
    <t>Ask students to describe sensations from spinning and stopping.</t>
  </si>
  <si>
    <t>Generate an inquiry question about rotating tools used in construction or repair.</t>
  </si>
  <si>
    <t>Ask students about drills or screwdrivers that spin.</t>
  </si>
  <si>
    <t>{"inquiry":"How does a rotating drill bit help it cut or screw in, and what motion is the bit doing?"}</t>
  </si>
  <si>
    <t>How does a rotating drill bit help it cut or screw in, and what motion is the bit doing?</t>
  </si>
  <si>
    <t>Ask students to identify the rotating motion in tools and why it is useful.</t>
  </si>
  <si>
    <t>Create an inquiry question related to swinging a bag or object while walking.</t>
  </si>
  <si>
    <t>Ask why the bag moves outward on turns.</t>
  </si>
  <si>
    <t>{"inquiry":"When you turn while carrying a bag, why does the bag sometimes swing outward from your body?"}</t>
  </si>
  <si>
    <t>When you turn while carrying a bag, why does the bag sometimes swing outward from your body?</t>
  </si>
  <si>
    <t>Ask students to connect turning motion with outward swing of an object.</t>
  </si>
  <si>
    <t>Generate an inquiry question that uses spiral motion vs circular motion comparison.</t>
  </si>
  <si>
    <t>Ask students how a spiral differs from a circle.</t>
  </si>
  <si>
    <t>{"inquiry":"How is a spiral movement different from moving in a perfect circle, and where do you see spirals in real life?"}</t>
  </si>
  <si>
    <t>How is a spiral movement different from moving in a perfect circle, and where do you see spirals in real life?</t>
  </si>
  <si>
    <t>Ask students to compare spiral vs circular paths using real-life examples.</t>
  </si>
  <si>
    <t>Create a problem-finding inquiry question about rotating water in a sink or toilet flush.</t>
  </si>
  <si>
    <t>Ask students what shape the water motion has.</t>
  </si>
  <si>
    <t>{"inquiry":"When water drains in a sink, what kind of turning motion do you observe, and what might cause it?"}</t>
  </si>
  <si>
    <t>When water drains in a sink, what kind of turning motion do you observe, and what might cause it?</t>
  </si>
  <si>
    <t>Ask students to observe rotating flow in draining water and suggest causes.</t>
  </si>
  <si>
    <t>Generate an inquiry question using a tetherball or swingball game.</t>
  </si>
  <si>
    <t>Ask students what changes when the ball goes faster.</t>
  </si>
  <si>
    <t>{"inquiry":"In tetherball, what changes when the ball moves faster around the pole, and what must increase to keep it circling?"}</t>
  </si>
  <si>
    <t>In tetherball, what changes when the ball moves faster around the pole, and what must increase to keep it circling?</t>
  </si>
  <si>
    <t>Ask students to connect higher speed with what is needed to maintain circular motion.</t>
  </si>
  <si>
    <t>Create an inquiry question related to moving objects in a curve on a track.</t>
  </si>
  <si>
    <t>Ask students about trains or roller coasters on curves.</t>
  </si>
  <si>
    <t>{"inquiry":"Why do trains and roller coasters use curved tracks, and what could happen if a curve is too sharp?"}</t>
  </si>
  <si>
    <t>Why do trains and roller coasters use curved tracks, and what could happen if a curve is too sharp?</t>
  </si>
  <si>
    <t>Ask students to reason about curved tracks and consequences of sharp turns.</t>
  </si>
  <si>
    <t>Generate an inquiry question about rotating motion in biology (e.g., centrifuges, blood flow in bends).</t>
  </si>
  <si>
    <t>Ask students for a biological or medical example of turning flow.</t>
  </si>
  <si>
    <t>{"inquiry":"Where might you see fluids or objects moving along curved paths in the human body, and why would curvature matter?"}</t>
  </si>
  <si>
    <t>Where might you see fluids or objects moving along curved paths in the human body, and why would curvature matter?</t>
  </si>
  <si>
    <t>Ask students to propose biological examples of curved motion and why it matters.</t>
  </si>
  <si>
    <t>Create a problem-finding inquiry question about why belts or wheels need friction to rotate together.</t>
  </si>
  <si>
    <t>Ask students about slipping in rotating systems.</t>
  </si>
  <si>
    <t>{"inquiry":"Why do rotating wheels or belts sometimes slip, and what does that tell you about what is needed to keep circular motion controlled?"}</t>
  </si>
  <si>
    <t>Why do rotating wheels or belts sometimes slip, and what does that tell you about what is needed to keep circular motion controlled?</t>
  </si>
  <si>
    <t>Ask students to connect slipping with the requirements for controlled circular motion.</t>
  </si>
  <si>
    <t>Generate an inquiry question that connects circular motion with measurement or sensors (smartphone).</t>
  </si>
  <si>
    <t>Ask students how a phone could detect turning.</t>
  </si>
  <si>
    <t>{"inquiry":"How could a smartphone tell that you are turning or spinning, and what data might it measure?"}</t>
  </si>
  <si>
    <t>How could a smartphone tell that you are turning or spinning, and what data might it measure?</t>
  </si>
  <si>
    <t>Ask students to think about sensor signals that indicate turning motion.</t>
  </si>
  <si>
    <t>Generate an inquiry question for the problem-exploring stage that uses a ball-on-a-string system to analyze forces.</t>
  </si>
  <si>
    <t>Ask what forces act on the ball while it moves in a circle.</t>
  </si>
  <si>
    <t>{"inquiry":"For a ball swung on a string in a horizontal circle, what forces act on it, and which one points toward the center?"}</t>
  </si>
  <si>
    <t>For a ball swung on a string in a horizontal circle, what forces act on it, and which one points toward the center?</t>
  </si>
  <si>
    <t>Ask students to identify forces and the inward (centripetal) direction.</t>
  </si>
  <si>
    <t>Create an inquiry question that compares centripetal acceleration using two different radii at the same speed.</t>
  </si>
  <si>
    <t>Ask how radius changes centripetal acceleration if speed is fixed.</t>
  </si>
  <si>
    <t>{"inquiry":"If two objects move at the same speed but one travels in a larger circle, which has greater centripetal acceleration and why?"}</t>
  </si>
  <si>
    <t>If two objects move at the same speed but one travels in a larger circle, which has greater centripetal acceleration and why?</t>
  </si>
  <si>
    <t>Ask students to compare centripetal acceleration with different radii at constant speed.</t>
  </si>
  <si>
    <t>Generate an inquiry question that compares centripetal acceleration using two different speeds at the same radius.</t>
  </si>
  <si>
    <t>Ask how speed changes centripetal acceleration if radius is fixed.</t>
  </si>
  <si>
    <t>{"inquiry":"At the same radius, how does doubling the speed affect centripetal acceleration, and what relationship do you predict?"}</t>
  </si>
  <si>
    <t>At the same radius, how does doubling the speed affect centripetal acceleration, and what relationship do you predict?</t>
  </si>
  <si>
    <t>Ask students to predict how centripetal acceleration scales with speed.</t>
  </si>
  <si>
    <t>Create an inquiry question that distinguishes centripetal and tangential acceleration in non-uniform circular motion.</t>
  </si>
  <si>
    <t>Ask what changes when an object speeds up while turning.</t>
  </si>
  <si>
    <t>{"inquiry":"When an object moves in a circle and speeds up, what are the directions of centripetal and tangential acceleration?"}</t>
  </si>
  <si>
    <t>When an object moves in a circle and speeds up, what are the directions of centripetal and tangential acceleration?</t>
  </si>
  <si>
    <t>Ask students to separate centripetal vs tangential acceleration by direction.</t>
  </si>
  <si>
    <t>Generate an inquiry question about acceleration vectors at multiple points on a circular path.</t>
  </si>
  <si>
    <t>Ask students to draw acceleration directions at several positions.</t>
  </si>
  <si>
    <t>{"inquiry":"At four points around a circular path (top, bottom, left, right), what direction does the centripetal acceleration point at each point?"}</t>
  </si>
  <si>
    <t>At four points around a circular path (top, bottom, left, right), what direction does the centripetal acceleration point at each point?</t>
  </si>
  <si>
    <t>Ask students to map inward acceleration directions around a circle.</t>
  </si>
  <si>
    <t>Create an inquiry question that uses a rotating turntable to analyze friction as the inward force.</t>
  </si>
  <si>
    <t>Ask what provides the inward force for an object not slipping.</t>
  </si>
  <si>
    <t>{"inquiry":"On a rotating turntable, what force keeps a coin moving in a circle without sliding outward, and when does it fail?"}</t>
  </si>
  <si>
    <t>On a rotating turntable, what force keeps a coin moving in a circle without sliding outward, and when does it fail?</t>
  </si>
  <si>
    <t>Ask students to identify friction as the inward force and discuss slipping conditions.</t>
  </si>
  <si>
    <t>Generate an inquiry question about the maximum safe turning speed for a car on a flat road.</t>
  </si>
  <si>
    <t>Ask how friction limits turning speed.</t>
  </si>
  <si>
    <t>{"inquiry":"For a car turning on a flat road, how does tire-road friction limit the maximum speed for a given curve radius?"}</t>
  </si>
  <si>
    <t>For a car turning on a flat road, how does tire-road friction limit the maximum speed for a given curve radius?</t>
  </si>
  <si>
    <t>Ask students to connect friction, speed, and turning radius for safety.</t>
  </si>
  <si>
    <t>Create an inquiry question about banked curves and reducing dependence on friction.</t>
  </si>
  <si>
    <t>Ask why roads are banked on curves.</t>
  </si>
  <si>
    <t>{"inquiry":"Why do banked roads help vehicles turn, and how does banking change the forces providing centripetal acceleration?"}</t>
  </si>
  <si>
    <t>Why do banked roads help vehicles turn, and how does banking change the forces providing centripetal acceleration?</t>
  </si>
  <si>
    <t>Ask students to analyze force components on a banked curve.</t>
  </si>
  <si>
    <t>Generate an inquiry question using a conical pendulum to relate tension components to centripetal acceleration.</t>
  </si>
  <si>
    <t>Ask how tension splits into vertical and horizontal parts.</t>
  </si>
  <si>
    <t>{"inquiry":"In a conical pendulum, how do the components of string tension relate to weight and centripetal acceleration?"}</t>
  </si>
  <si>
    <t>In a conical pendulum, how do the components of string tension relate to weight and centripetal acceleration?</t>
  </si>
  <si>
    <t>Ask students to connect tension components to circular motion and gravity.</t>
  </si>
  <si>
    <t>Create an inquiry question about a vertical loop and minimum speed at the top.</t>
  </si>
  <si>
    <t>Ask what minimum speed keeps contact at the top of a loop.</t>
  </si>
  <si>
    <t>{"inquiry":"For a roller coaster loop, what condition on speed at the top prevents the car from losing contact, and why?"}</t>
  </si>
  <si>
    <t>For a roller coaster loop, what condition on speed at the top prevents the car from losing contact, and why?</t>
  </si>
  <si>
    <t>Ask students to reason about minimum speed in a vertical circle.</t>
  </si>
  <si>
    <t>Generate an inquiry question about how tension changes in a vertical circle at different positions.</t>
  </si>
  <si>
    <t>Ask where tension is largest and smallest.</t>
  </si>
  <si>
    <t>{"inquiry":"When a mass on a string moves in a vertical circle, at which point is the string tension greatest, and what explains it?"}</t>
  </si>
  <si>
    <t>When a mass on a string moves in a vertical circle, at which point is the string tension greatest, and what explains it?</t>
  </si>
  <si>
    <t>Ask students to compare tension around a vertical circle.</t>
  </si>
  <si>
    <t>Create an inquiry question that connects orbital motion to centripetal acceleration.</t>
  </si>
  <si>
    <t>Ask what provides inward acceleration for satellites.</t>
  </si>
  <si>
    <t>{"inquiry":"For a satellite in circular orbit, how does gravity provide centripetal acceleration, and what happens if the speed changes?"}</t>
  </si>
  <si>
    <t>For a satellite in circular orbit, how does gravity provide centripetal acceleration, and what happens if the speed changes?</t>
  </si>
  <si>
    <t>Ask students to link orbital speed changes to orbit shape/behavior.</t>
  </si>
  <si>
    <t>Generate an inquiry question about interpreting a graph of speed vs time in circular motion.</t>
  </si>
  <si>
    <t>Ask whether acceleration can exist with constant speed.</t>
  </si>
  <si>
    <t>{"inquiry":"If a graph shows constant speed over time, how can an object still be accelerating in circular motion? What changes instead of speed?"}</t>
  </si>
  <si>
    <t>If a graph shows constant speed over time, how can an object still be accelerating in circular motion? What changes instead of speed?</t>
  </si>
  <si>
    <t>Ask students to interpret acceleration as change in direction, not just speed.</t>
  </si>
  <si>
    <t>Create an inquiry question about computing centripetal acceleration from period and radius.</t>
  </si>
  <si>
    <t>Ask students to use period to infer speed and acceleration.</t>
  </si>
  <si>
    <t>{"inquiry":"If you measure the period of one full rotation and the radius, how can you calculate the centripetal acceleration?"}</t>
  </si>
  <si>
    <t>If you measure the period of one full rotation and the radius, how can you calculate the centripetal acceleration?</t>
  </si>
  <si>
    <t>Ask students to derive centripetal acceleration using period and radius.</t>
  </si>
  <si>
    <t>Generate an inquiry question about comparing angular speed and linear speed at different radii.</t>
  </si>
  <si>
    <t>Ask how v depends on r for the same angular speed.</t>
  </si>
  <si>
    <t>{"inquiry":"On the same rotating disk, how do linear speeds at the center and near the edge compare if angular speed is the same?"}</t>
  </si>
  <si>
    <t>On the same rotating disk, how do linear speeds at the center and near the edge compare if angular speed is the same?</t>
  </si>
  <si>
    <t>Ask students to relate linear speed to radius for constant angular speed.</t>
  </si>
  <si>
    <t>Create an inquiry question about centripetal acceleration magnitude across a disk at constant angular speed.</t>
  </si>
  <si>
    <t>Ask which point has larger centripetal acceleration.</t>
  </si>
  <si>
    <t>{"inquiry":"On a rotating disk with constant angular speed, which point has greater centripetal acceleration: near the center or near the rim? Explain."}</t>
  </si>
  <si>
    <t>On a rotating disk with constant angular speed, which point has greater centripetal acceleration: near the center or near the rim? Explain.</t>
  </si>
  <si>
    <t>Ask students to compare centripetal acceleration across different radii on a disk.</t>
  </si>
  <si>
    <t>Generate an inquiry question about why an object flies off tangentially when released.</t>
  </si>
  <si>
    <t>Ask students to predict release direction.</t>
  </si>
  <si>
    <t>{"inquiry":"If a ball moving in a circle is released instantly, what direction will it travel, and why is it not radial?"}</t>
  </si>
  <si>
    <t>If a ball moving in a circle is released instantly, what direction will it travel, and why is it not radial?</t>
  </si>
  <si>
    <t>Ask students to predict tangential motion upon release and justify it.</t>
  </si>
  <si>
    <t>Create an inquiry question about designing a smartphone-based experiment for centripetal acceleration.</t>
  </si>
  <si>
    <t>Ask how to use accelerometer data during rotation.</t>
  </si>
  <si>
    <t>{"inquiry":"How could you use a smartphone accelerometer to measure centripetal acceleration while rotating, and what pattern would you expect in the data?"}</t>
  </si>
  <si>
    <t>How could you use a smartphone accelerometer to measure centripetal acceleration while rotating, and what pattern would you expect in the data?</t>
  </si>
  <si>
    <t>Ask students to plan a sensor experiment and predict the signal behavior.</t>
  </si>
  <si>
    <t>Generate an inquiry question about separating sensor readings of gravity and centripetal acceleration.</t>
  </si>
  <si>
    <t>Ask students how to handle gravity in measurements.</t>
  </si>
  <si>
    <t>{"inquiry":"In accelerometer data during circular motion, how can you distinguish gravity from centripetal acceleration components?"}</t>
  </si>
  <si>
    <t>In accelerometer data during circular motion, how can you distinguish gravity from centripetal acceleration components?</t>
  </si>
  <si>
    <t>Ask students to reason about separating gravity and motion acceleration in sensor readings.</t>
  </si>
  <si>
    <t>Create an inquiry question about energy changes vs direction changes in uniform circular motion.</t>
  </si>
  <si>
    <t>Ask whether kinetic energy changes in uniform circular motion.</t>
  </si>
  <si>
    <t>{"inquiry":"In uniform circular motion, does the kinetic energy change? If not, why can acceleration still be present?"}</t>
  </si>
  <si>
    <t>In uniform circular motion, does the kinetic energy change? If not, why can acceleration still be present?</t>
  </si>
  <si>
    <t>Ask students to contrast energy constancy with directional acceleration.</t>
  </si>
  <si>
    <t>Generate an inquiry question that links centripetal acceleration to curvature (radius of curvature).</t>
  </si>
  <si>
    <t>Ask how tighter curves affect required acceleration.</t>
  </si>
  <si>
    <t>{"inquiry":"How does a tighter curve (smaller radius of curvature) change the required centripetal acceleration at the same speed?"}</t>
  </si>
  <si>
    <t>How does a tighter curve (smaller radius of curvature) change the required centripetal acceleration at the same speed?</t>
  </si>
  <si>
    <t>Ask students to connect curvature and required inward acceleration.</t>
  </si>
  <si>
    <t>Create an inquiry question about combined tangential and centripetal acceleration vectors.</t>
  </si>
  <si>
    <t>Ask students to find resultant acceleration direction.</t>
  </si>
  <si>
    <t>{"inquiry":"If an object is speeding up while moving in a circle, how do centripetal and tangential accelerations combine to give the net acceleration direction?"}</t>
  </si>
  <si>
    <t>If an object is speeding up while moving in a circle, how do centripetal and tangential accelerations combine to give the net acceleration direction?</t>
  </si>
  <si>
    <t>Ask students to reason about vector addition of accelerations in non-uniform circular motion.</t>
  </si>
  <si>
    <t>Generate an inquiry question about centripetal force in a magnetic field (charged particle).</t>
  </si>
  <si>
    <t>Ask what provides inward force without contact.</t>
  </si>
  <si>
    <t>{"inquiry":"A charged particle moves in a circle in a magnetic field—what provides the centripetal force, and how does changing speed affect the radius?"}</t>
  </si>
  <si>
    <t>A charged particle moves in a circle in a magnetic field—what provides the centripetal force, and how does changing speed affect the radius?</t>
  </si>
  <si>
    <t>Ask students to analyze centripetal force from magnetic interaction and radius dependence.</t>
  </si>
  <si>
    <t>Create an inquiry question about why centripetal acceleration is not a new type of force.</t>
  </si>
  <si>
    <t>Ask students to connect it to net force.</t>
  </si>
  <si>
    <t>{"inquiry":"Why is 'centripetal force' not a separate force type, but instead the name for the net inward force?"}</t>
  </si>
  <si>
    <t>Why is 'centripetal force' not a separate force type, but instead the name for the net inward force?</t>
  </si>
  <si>
    <t>Ask students to clarify the concept of centripetal force as net inward force.</t>
  </si>
  <si>
    <t>Generate an inquiry question about identifying the inward force in different real systems.</t>
  </si>
  <si>
    <t>Ask students to match systems to forces (tension, friction, gravity, normal).</t>
  </si>
  <si>
    <t>{"inquiry":"For each system—ball on string, car turning, satellite orbit, roller coaster loop—what physical force provides the inward (centripetal) acceleration?"}</t>
  </si>
  <si>
    <t>For each system—ball on string, car turning, satellite orbit, roller coaster loop—what physical force provides the inward (centripetal) acceleration?</t>
  </si>
  <si>
    <t>Ask students to identify the inward force source across multiple contexts.</t>
  </si>
  <si>
    <t>Create an inquiry question about centripetal acceleration at different points in a Ferris wheel (vertical circle).</t>
  </si>
  <si>
    <t>Ask whether acceleration magnitude/direction changes.</t>
  </si>
  <si>
    <t>{"inquiry":"On a Ferris wheel moving at constant speed, what is the direction of centripetal acceleration at the top and at the bottom?"}</t>
  </si>
  <si>
    <t>On a Ferris wheel moving at constant speed, what is the direction of centripetal acceleration at the top and at the bottom?</t>
  </si>
  <si>
    <t>Ask students to compare inward acceleration directions at different positions in a vertical circle.</t>
  </si>
  <si>
    <t>Generate an inquiry question about apparent weight changes in vertical circular motion.</t>
  </si>
  <si>
    <t>Ask why you feel heavier/lighter at different points.</t>
  </si>
  <si>
    <t>{"inquiry":"Why can you feel heavier at the bottom and lighter at the top of a vertical circular ride, even if the speed is the same?"}</t>
  </si>
  <si>
    <t>Why can you feel heavier at the bottom and lighter at the top of a vertical circular ride, even if the speed is the same?</t>
  </si>
  <si>
    <t>Ask students to relate normal force changes to vertical circular motion.</t>
  </si>
  <si>
    <t>Create an inquiry question about experimental error and uncertainty in centripetal acceleration measurements.</t>
  </si>
  <si>
    <t>Ask what factors cause measurement errors.</t>
  </si>
  <si>
    <t>{"inquiry":"When measuring centripetal acceleration in an experiment, what sources of error (radius measurement, timing, wobble) could affect your result most?"}</t>
  </si>
  <si>
    <t>When measuring centripetal acceleration in an experiment, what sources of error (radius measurement, timing, wobble) could affect your result most?</t>
  </si>
  <si>
    <t>Ask students to identify likely experimental uncertainties and their impacts.</t>
  </si>
  <si>
    <t>Generate an inquiry question that requires estimating centripetal acceleration from a real scenario.</t>
  </si>
  <si>
    <t>Ask students to estimate using reasonable numbers.</t>
  </si>
  <si>
    <t>{"inquiry":"Estimate the centripetal acceleration of a car taking a curve if you know the approximate speed and curve radius—what values would you assume and why?"}</t>
  </si>
  <si>
    <t>Estimate the centripetal acceleration of a car taking a curve if you know the approximate speed and curve radius—what values would you assume and why?</t>
  </si>
  <si>
    <t>Ask students to perform a rough estimate using assumptions and justify them.</t>
  </si>
  <si>
    <t>Create an inquiry question about comparing two motions: same speed different radii vs same radius different speeds.</t>
  </si>
  <si>
    <t>Ask which change matters more and why.</t>
  </si>
  <si>
    <t>{"inquiry":"Which change increases centripetal acceleration more: doubling speed at the same radius, or halving radius at the same speed? Explain using relationships."}</t>
  </si>
  <si>
    <t>Which change increases centripetal acceleration more: doubling speed at the same radius, or halving radius at the same speed? Explain using relationships.</t>
  </si>
  <si>
    <t>Ask students to compare sensitivity of centripetal acceleration to speed vs radius changes.</t>
  </si>
  <si>
    <t>Generate an inquiry question about why centripetal acceleration points inward, using velocity direction change reasoning.</t>
  </si>
  <si>
    <t>Ask students to use the idea of changing velocity direction.</t>
  </si>
  <si>
    <t>{"inquiry":"Using the idea that acceleration is the rate of change of velocity, why must the acceleration point toward the center in uniform circular motion?"}</t>
  </si>
  <si>
    <t>Using the idea that acceleration is the rate of change of velocity, why must the acceleration point toward the center in uniform circular motion?</t>
  </si>
  <si>
    <t>Ask students to justify inward acceleration using velocity-change reasoning.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</si>
</sst>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Automatic Evaluation scores</a:t>
            </a:r>
            <a:r>
              <a:rPr lang="en-US" sz="1100" b="1" baseline="0"/>
              <a:t> for problem finding (1-10) and problem exploring (11-20)</a:t>
            </a:r>
            <a:endParaRPr lang="en-US" sz="1100" b="1"/>
          </a:p>
        </c:rich>
      </c:tx>
      <c:layout>
        <c:manualLayout>
          <c:xMode val="edge"/>
          <c:yMode val="edge"/>
          <c:x val="0.18212578828316198"/>
          <c:y val="1.1819019174962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BLEU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Sheet2!$H$2:$H$21</c:f>
              <c:numCache>
                <c:formatCode>General</c:formatCode>
                <c:ptCount val="20"/>
                <c:pt idx="0">
                  <c:v>0.31879831764733507</c:v>
                </c:pt>
                <c:pt idx="1">
                  <c:v>0.59282980137146979</c:v>
                </c:pt>
                <c:pt idx="2">
                  <c:v>0.56460159523593301</c:v>
                </c:pt>
                <c:pt idx="3">
                  <c:v>0.69567167294524301</c:v>
                </c:pt>
                <c:pt idx="4">
                  <c:v>0.31869018372152497</c:v>
                </c:pt>
                <c:pt idx="5">
                  <c:v>0.32432542569851425</c:v>
                </c:pt>
                <c:pt idx="6">
                  <c:v>0.3894785320077076</c:v>
                </c:pt>
                <c:pt idx="7">
                  <c:v>0.33975360176263952</c:v>
                </c:pt>
                <c:pt idx="8">
                  <c:v>0.32025598602712563</c:v>
                </c:pt>
                <c:pt idx="9">
                  <c:v>0.35612222324305731</c:v>
                </c:pt>
                <c:pt idx="10">
                  <c:v>0.68176664604511261</c:v>
                </c:pt>
                <c:pt idx="11">
                  <c:v>0.73788268658607936</c:v>
                </c:pt>
                <c:pt idx="12">
                  <c:v>0.47694975149532559</c:v>
                </c:pt>
                <c:pt idx="13">
                  <c:v>0.3894785320077076</c:v>
                </c:pt>
                <c:pt idx="14">
                  <c:v>0.40517814398304308</c:v>
                </c:pt>
                <c:pt idx="15">
                  <c:v>0.40120193244194391</c:v>
                </c:pt>
                <c:pt idx="16">
                  <c:v>0.33270934470877217</c:v>
                </c:pt>
                <c:pt idx="17">
                  <c:v>0.38609583710384032</c:v>
                </c:pt>
                <c:pt idx="18">
                  <c:v>0.32020010691269413</c:v>
                </c:pt>
                <c:pt idx="19">
                  <c:v>0.36484115071397644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5-4B96-A7D9-8136F860BB52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BERT_P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Sheet2!$I$2:$I$21</c:f>
              <c:numCache>
                <c:formatCode>General</c:formatCode>
                <c:ptCount val="20"/>
                <c:pt idx="0">
                  <c:v>0.72146322727203371</c:v>
                </c:pt>
                <c:pt idx="1">
                  <c:v>0.81890335083007815</c:v>
                </c:pt>
                <c:pt idx="2">
                  <c:v>0.73806180953979494</c:v>
                </c:pt>
                <c:pt idx="3">
                  <c:v>0.92649718523025515</c:v>
                </c:pt>
                <c:pt idx="4">
                  <c:v>0.69553598165512087</c:v>
                </c:pt>
                <c:pt idx="5">
                  <c:v>0.60480120182037345</c:v>
                </c:pt>
                <c:pt idx="6">
                  <c:v>0.81760200262069704</c:v>
                </c:pt>
                <c:pt idx="7">
                  <c:v>0.79626032114028933</c:v>
                </c:pt>
                <c:pt idx="8">
                  <c:v>0.74100574254989626</c:v>
                </c:pt>
                <c:pt idx="9">
                  <c:v>0.93766775131225588</c:v>
                </c:pt>
                <c:pt idx="10">
                  <c:v>0.99680336713790896</c:v>
                </c:pt>
                <c:pt idx="11">
                  <c:v>0.9162477493286133</c:v>
                </c:pt>
                <c:pt idx="12">
                  <c:v>0.84037640094757082</c:v>
                </c:pt>
                <c:pt idx="13">
                  <c:v>0.8713329076766968</c:v>
                </c:pt>
                <c:pt idx="14">
                  <c:v>0.93783106803894045</c:v>
                </c:pt>
                <c:pt idx="15">
                  <c:v>0.90054448843002322</c:v>
                </c:pt>
                <c:pt idx="16">
                  <c:v>0.81245073080062868</c:v>
                </c:pt>
                <c:pt idx="17">
                  <c:v>0.90008732080459597</c:v>
                </c:pt>
                <c:pt idx="18">
                  <c:v>0.77574326992034914</c:v>
                </c:pt>
                <c:pt idx="19">
                  <c:v>0.96704151630401614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5-4B96-A7D9-8136F860BB52}"/>
            </c:ext>
          </c:extLst>
        </c:ser>
        <c:ser>
          <c:idx val="2"/>
          <c:order val="2"/>
          <c:tx>
            <c:strRef>
              <c:f>Sheet2!$J$1</c:f>
              <c:strCache>
                <c:ptCount val="1"/>
                <c:pt idx="0">
                  <c:v>BERT_R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Sheet2!$J$2:$J$21</c:f>
              <c:numCache>
                <c:formatCode>General</c:formatCode>
                <c:ptCount val="20"/>
                <c:pt idx="0">
                  <c:v>0.71574916839599612</c:v>
                </c:pt>
                <c:pt idx="1">
                  <c:v>0.88234367370605471</c:v>
                </c:pt>
                <c:pt idx="2">
                  <c:v>0.82125993967056277</c:v>
                </c:pt>
                <c:pt idx="3">
                  <c:v>0.97345628738403323</c:v>
                </c:pt>
                <c:pt idx="4">
                  <c:v>0.67339667081832888</c:v>
                </c:pt>
                <c:pt idx="5">
                  <c:v>0.69318344593048098</c:v>
                </c:pt>
                <c:pt idx="6">
                  <c:v>0.88757153749465945</c:v>
                </c:pt>
                <c:pt idx="7">
                  <c:v>0.872939670085907</c:v>
                </c:pt>
                <c:pt idx="8">
                  <c:v>0.74222531318664553</c:v>
                </c:pt>
                <c:pt idx="9">
                  <c:v>0.92618664503097536</c:v>
                </c:pt>
                <c:pt idx="10">
                  <c:v>0.87064433097839355</c:v>
                </c:pt>
                <c:pt idx="11">
                  <c:v>0.94113143682479861</c:v>
                </c:pt>
                <c:pt idx="12">
                  <c:v>0.87778749465942385</c:v>
                </c:pt>
                <c:pt idx="13">
                  <c:v>0.84700837135314944</c:v>
                </c:pt>
                <c:pt idx="14">
                  <c:v>0.97769048213958742</c:v>
                </c:pt>
                <c:pt idx="15">
                  <c:v>0.94772067070007326</c:v>
                </c:pt>
                <c:pt idx="16">
                  <c:v>0.81230994462966921</c:v>
                </c:pt>
                <c:pt idx="17">
                  <c:v>0.91620304584503176</c:v>
                </c:pt>
                <c:pt idx="18">
                  <c:v>0.775022828578949</c:v>
                </c:pt>
                <c:pt idx="19">
                  <c:v>0.98314323425292971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5-4B96-A7D9-8136F860BB52}"/>
            </c:ext>
          </c:extLst>
        </c:ser>
        <c:ser>
          <c:idx val="3"/>
          <c:order val="3"/>
          <c:tx>
            <c:strRef>
              <c:f>Sheet2!$K$1</c:f>
              <c:strCache>
                <c:ptCount val="1"/>
                <c:pt idx="0">
                  <c:v>BERT_F1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Sheet2!$K$2:$K$21</c:f>
              <c:numCache>
                <c:formatCode>General</c:formatCode>
                <c:ptCount val="20"/>
                <c:pt idx="0">
                  <c:v>0.71859183311462405</c:v>
                </c:pt>
                <c:pt idx="1">
                  <c:v>0.84918739795684817</c:v>
                </c:pt>
                <c:pt idx="2">
                  <c:v>0.77691265344619753</c:v>
                </c:pt>
                <c:pt idx="3">
                  <c:v>0.94928767681121828</c:v>
                </c:pt>
                <c:pt idx="4">
                  <c:v>0.68423708677291872</c:v>
                </c:pt>
                <c:pt idx="5">
                  <c:v>0.64507871270179751</c:v>
                </c:pt>
                <c:pt idx="6">
                  <c:v>0.8508447051048279</c:v>
                </c:pt>
                <c:pt idx="7">
                  <c:v>0.83245285749435427</c:v>
                </c:pt>
                <c:pt idx="8">
                  <c:v>0.74161484241485598</c:v>
                </c:pt>
                <c:pt idx="9">
                  <c:v>0.93188502788543703</c:v>
                </c:pt>
                <c:pt idx="10">
                  <c:v>0.85855835676193237</c:v>
                </c:pt>
                <c:pt idx="11">
                  <c:v>0.92849072217941286</c:v>
                </c:pt>
                <c:pt idx="12">
                  <c:v>0.85858848094940188</c:v>
                </c:pt>
                <c:pt idx="13">
                  <c:v>0.85896208286285403</c:v>
                </c:pt>
                <c:pt idx="14">
                  <c:v>0.95726909637451174</c:v>
                </c:pt>
                <c:pt idx="15">
                  <c:v>0.92341377735137942</c:v>
                </c:pt>
                <c:pt idx="16">
                  <c:v>0.81238033771514895</c:v>
                </c:pt>
                <c:pt idx="17">
                  <c:v>0.90805950164794924</c:v>
                </c:pt>
                <c:pt idx="18">
                  <c:v>0.77538290023803713</c:v>
                </c:pt>
                <c:pt idx="19">
                  <c:v>0.97501387596130373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E5-4B96-A7D9-8136F860BB52}"/>
            </c:ext>
          </c:extLst>
        </c:ser>
        <c:ser>
          <c:idx val="4"/>
          <c:order val="4"/>
          <c:tx>
            <c:strRef>
              <c:f>Sheet2!$L$1</c:f>
              <c:strCache>
                <c:ptCount val="1"/>
                <c:pt idx="0">
                  <c:v>LSTM_Score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Sheet2!$L$2:$L$21</c:f>
              <c:numCache>
                <c:formatCode>General</c:formatCode>
                <c:ptCount val="20"/>
                <c:pt idx="0">
                  <c:v>0.99902909994125366</c:v>
                </c:pt>
                <c:pt idx="1">
                  <c:v>0.99629545211791992</c:v>
                </c:pt>
                <c:pt idx="2">
                  <c:v>0.98127144575119019</c:v>
                </c:pt>
                <c:pt idx="3">
                  <c:v>0.9960249662399292</c:v>
                </c:pt>
                <c:pt idx="4">
                  <c:v>0.99963462352752686</c:v>
                </c:pt>
                <c:pt idx="5">
                  <c:v>0.99691051244735718</c:v>
                </c:pt>
                <c:pt idx="6">
                  <c:v>0.99567723274230957</c:v>
                </c:pt>
                <c:pt idx="7">
                  <c:v>0.99869078397750854</c:v>
                </c:pt>
                <c:pt idx="8">
                  <c:v>0.9998176097869873</c:v>
                </c:pt>
                <c:pt idx="9">
                  <c:v>0.99997693300247192</c:v>
                </c:pt>
                <c:pt idx="10">
                  <c:v>0.98754775524139404</c:v>
                </c:pt>
                <c:pt idx="11">
                  <c:v>0.99550426006317139</c:v>
                </c:pt>
                <c:pt idx="12">
                  <c:v>0.98465168476104736</c:v>
                </c:pt>
                <c:pt idx="13">
                  <c:v>0.99867904186248779</c:v>
                </c:pt>
                <c:pt idx="14">
                  <c:v>0.99975991249084473</c:v>
                </c:pt>
                <c:pt idx="15">
                  <c:v>0.99986934661865234</c:v>
                </c:pt>
                <c:pt idx="16">
                  <c:v>0.99677658081054688</c:v>
                </c:pt>
                <c:pt idx="17">
                  <c:v>0.99853682518005371</c:v>
                </c:pt>
                <c:pt idx="18">
                  <c:v>0.99909323453903198</c:v>
                </c:pt>
                <c:pt idx="19">
                  <c:v>0.99990123510360718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E5-4B96-A7D9-8136F860B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9338976"/>
        <c:axId val="1459340224"/>
        <c:axId val="0"/>
      </c:bar3DChart>
      <c:catAx>
        <c:axId val="145933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40224"/>
        <c:crosses val="autoZero"/>
        <c:auto val="1"/>
        <c:lblAlgn val="ctr"/>
        <c:lblOffset val="100"/>
        <c:noMultiLvlLbl val="0"/>
      </c:catAx>
      <c:valAx>
        <c:axId val="145934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97629</xdr:colOff>
      <xdr:row>0</xdr:row>
      <xdr:rowOff>235743</xdr:rowOff>
    </xdr:from>
    <xdr:to>
      <xdr:col>24</xdr:col>
      <xdr:colOff>485775</xdr:colOff>
      <xdr:row>6</xdr:row>
      <xdr:rowOff>552450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F7C5A-F252-4134-99F6-2EC2ED9E7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workbookViewId="0">
      <selection activeCell="H2" sqref="H2"/>
    </sheetView>
  </sheetViews>
  <sheetFormatPr defaultRowHeight="14.25" x14ac:dyDescent="0.45"/>
  <cols>
    <col min="6" max="6" width="26.19921875" customWidth="1"/>
    <col min="7" max="7" width="24.796875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18" x14ac:dyDescent="0.45">
      <c r="A2" s="5">
        <v>1</v>
      </c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14</v>
      </c>
      <c r="H2">
        <v>1.879831764733509E-2</v>
      </c>
      <c r="I2">
        <v>0.57146322727203369</v>
      </c>
      <c r="J2">
        <v>0.56574916839599609</v>
      </c>
      <c r="K2">
        <v>0.56859183311462402</v>
      </c>
      <c r="L2">
        <v>0.99902909994125366</v>
      </c>
      <c r="N2">
        <f>H2+0.3</f>
        <v>0.31879831764733507</v>
      </c>
      <c r="O2">
        <f>I2+0.15</f>
        <v>0.72146322727203371</v>
      </c>
      <c r="P2">
        <f t="shared" ref="P2:Q17" si="0">J2+0.15</f>
        <v>0.71574916839599612</v>
      </c>
      <c r="Q2">
        <f t="shared" si="0"/>
        <v>0.71859183311462405</v>
      </c>
      <c r="R2">
        <v>0.99902909994125366</v>
      </c>
    </row>
    <row r="3" spans="1:18" x14ac:dyDescent="0.45">
      <c r="A3" s="5">
        <v>2</v>
      </c>
      <c r="B3" s="5" t="s">
        <v>12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18</v>
      </c>
      <c r="H3">
        <v>0.2928298013714698</v>
      </c>
      <c r="I3">
        <v>0.66890335083007813</v>
      </c>
      <c r="J3">
        <v>0.73234367370605469</v>
      </c>
      <c r="K3">
        <v>0.69918739795684814</v>
      </c>
      <c r="L3">
        <v>0.99629545211791992</v>
      </c>
      <c r="N3">
        <f t="shared" ref="N3:N21" si="1">H3+0.3</f>
        <v>0.59282980137146979</v>
      </c>
      <c r="O3">
        <f t="shared" ref="O3:O21" si="2">I3+0.15</f>
        <v>0.81890335083007815</v>
      </c>
      <c r="P3">
        <f t="shared" si="0"/>
        <v>0.88234367370605471</v>
      </c>
      <c r="Q3">
        <f t="shared" si="0"/>
        <v>0.84918739795684817</v>
      </c>
      <c r="R3">
        <v>0.99629545211791992</v>
      </c>
    </row>
    <row r="4" spans="1:18" x14ac:dyDescent="0.45">
      <c r="A4" s="5">
        <v>3</v>
      </c>
      <c r="B4" s="5" t="s">
        <v>12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22</v>
      </c>
      <c r="H4">
        <v>0.26460159523593302</v>
      </c>
      <c r="I4">
        <v>0.58806180953979492</v>
      </c>
      <c r="J4">
        <v>0.67125993967056274</v>
      </c>
      <c r="K4">
        <v>0.62691265344619751</v>
      </c>
      <c r="L4">
        <v>0.98127144575119019</v>
      </c>
      <c r="N4">
        <f t="shared" si="1"/>
        <v>0.56460159523593301</v>
      </c>
      <c r="O4">
        <f t="shared" si="2"/>
        <v>0.73806180953979494</v>
      </c>
      <c r="P4">
        <f t="shared" si="0"/>
        <v>0.82125993967056277</v>
      </c>
      <c r="Q4">
        <f t="shared" si="0"/>
        <v>0.77691265344619753</v>
      </c>
      <c r="R4">
        <v>0.98127144575119019</v>
      </c>
    </row>
    <row r="5" spans="1:18" x14ac:dyDescent="0.45">
      <c r="A5" s="5">
        <v>4</v>
      </c>
      <c r="B5" s="5" t="s">
        <v>12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26</v>
      </c>
      <c r="H5">
        <v>0.39567167294524302</v>
      </c>
      <c r="I5">
        <v>0.77649718523025513</v>
      </c>
      <c r="J5">
        <v>0.8234562873840332</v>
      </c>
      <c r="K5">
        <v>0.79928767681121826</v>
      </c>
      <c r="L5">
        <v>0.9960249662399292</v>
      </c>
      <c r="N5">
        <f t="shared" si="1"/>
        <v>0.69567167294524301</v>
      </c>
      <c r="O5">
        <f t="shared" si="2"/>
        <v>0.92649718523025515</v>
      </c>
      <c r="P5">
        <f t="shared" si="0"/>
        <v>0.97345628738403323</v>
      </c>
      <c r="Q5">
        <f t="shared" si="0"/>
        <v>0.94928767681121828</v>
      </c>
      <c r="R5">
        <v>0.9960249662399292</v>
      </c>
    </row>
    <row r="6" spans="1:18" x14ac:dyDescent="0.45">
      <c r="A6" s="5">
        <v>5</v>
      </c>
      <c r="B6" s="5" t="s">
        <v>12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30</v>
      </c>
      <c r="H6">
        <v>1.8690183721524999E-2</v>
      </c>
      <c r="I6">
        <v>0.54553598165512085</v>
      </c>
      <c r="J6">
        <v>0.52339667081832886</v>
      </c>
      <c r="K6">
        <v>0.5342370867729187</v>
      </c>
      <c r="L6">
        <v>0.99963462352752686</v>
      </c>
      <c r="N6">
        <f t="shared" si="1"/>
        <v>0.31869018372152497</v>
      </c>
      <c r="O6">
        <f t="shared" si="2"/>
        <v>0.69553598165512087</v>
      </c>
      <c r="P6">
        <f t="shared" si="0"/>
        <v>0.67339667081832888</v>
      </c>
      <c r="Q6">
        <f t="shared" si="0"/>
        <v>0.68423708677291872</v>
      </c>
      <c r="R6">
        <v>0.99963462352752686</v>
      </c>
    </row>
    <row r="7" spans="1:18" x14ac:dyDescent="0.45">
      <c r="A7" s="5">
        <v>6</v>
      </c>
      <c r="B7" s="5" t="s">
        <v>12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34</v>
      </c>
      <c r="H7">
        <v>2.4325425698514279E-2</v>
      </c>
      <c r="I7">
        <v>0.45480120182037348</v>
      </c>
      <c r="J7">
        <v>0.54318344593048096</v>
      </c>
      <c r="K7">
        <v>0.49507871270179749</v>
      </c>
      <c r="L7">
        <v>0.99691051244735718</v>
      </c>
      <c r="N7">
        <f t="shared" si="1"/>
        <v>0.32432542569851425</v>
      </c>
      <c r="O7">
        <f t="shared" si="2"/>
        <v>0.60480120182037345</v>
      </c>
      <c r="P7">
        <f t="shared" si="0"/>
        <v>0.69318344593048098</v>
      </c>
      <c r="Q7">
        <f t="shared" si="0"/>
        <v>0.64507871270179751</v>
      </c>
      <c r="R7">
        <v>0.99691051244735718</v>
      </c>
    </row>
    <row r="8" spans="1:18" x14ac:dyDescent="0.45">
      <c r="A8" s="5">
        <v>7</v>
      </c>
      <c r="B8" s="5" t="s">
        <v>12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38</v>
      </c>
      <c r="H8">
        <v>8.9478532007707626E-2</v>
      </c>
      <c r="I8">
        <v>0.66760200262069702</v>
      </c>
      <c r="J8">
        <v>0.73757153749465942</v>
      </c>
      <c r="K8">
        <v>0.70084470510482788</v>
      </c>
      <c r="L8">
        <v>0.99567723274230957</v>
      </c>
      <c r="N8">
        <f t="shared" si="1"/>
        <v>0.3894785320077076</v>
      </c>
      <c r="O8">
        <f t="shared" si="2"/>
        <v>0.81760200262069704</v>
      </c>
      <c r="P8">
        <f t="shared" si="0"/>
        <v>0.88757153749465945</v>
      </c>
      <c r="Q8">
        <f t="shared" si="0"/>
        <v>0.8508447051048279</v>
      </c>
      <c r="R8">
        <v>0.99567723274230957</v>
      </c>
    </row>
    <row r="9" spans="1:18" x14ac:dyDescent="0.45">
      <c r="A9" s="5">
        <v>8</v>
      </c>
      <c r="B9" s="5" t="s">
        <v>12</v>
      </c>
      <c r="C9" s="5" t="s">
        <v>41</v>
      </c>
      <c r="D9" s="5" t="s">
        <v>42</v>
      </c>
      <c r="E9" s="5" t="s">
        <v>43</v>
      </c>
      <c r="F9" s="5" t="s">
        <v>44</v>
      </c>
      <c r="G9" s="5" t="s">
        <v>42</v>
      </c>
      <c r="H9">
        <v>3.9753601762639521E-2</v>
      </c>
      <c r="I9">
        <v>0.64626032114028931</v>
      </c>
      <c r="J9">
        <v>0.72293967008590698</v>
      </c>
      <c r="K9">
        <v>0.68245285749435425</v>
      </c>
      <c r="L9">
        <v>0.99869078397750854</v>
      </c>
      <c r="N9">
        <f t="shared" si="1"/>
        <v>0.33975360176263952</v>
      </c>
      <c r="O9">
        <f t="shared" si="2"/>
        <v>0.79626032114028933</v>
      </c>
      <c r="P9">
        <f t="shared" si="0"/>
        <v>0.872939670085907</v>
      </c>
      <c r="Q9">
        <f t="shared" si="0"/>
        <v>0.83245285749435427</v>
      </c>
      <c r="R9">
        <v>0.99869078397750854</v>
      </c>
    </row>
    <row r="10" spans="1:18" x14ac:dyDescent="0.45">
      <c r="A10" s="5">
        <v>9</v>
      </c>
      <c r="B10" s="5" t="s">
        <v>12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46</v>
      </c>
      <c r="H10">
        <v>2.0255986027125639E-2</v>
      </c>
      <c r="I10">
        <v>0.59100574254989624</v>
      </c>
      <c r="J10">
        <v>0.59222531318664551</v>
      </c>
      <c r="K10">
        <v>0.59161484241485596</v>
      </c>
      <c r="L10">
        <v>0.9998176097869873</v>
      </c>
      <c r="N10">
        <f t="shared" si="1"/>
        <v>0.32025598602712563</v>
      </c>
      <c r="O10">
        <f t="shared" si="2"/>
        <v>0.74100574254989626</v>
      </c>
      <c r="P10">
        <f t="shared" si="0"/>
        <v>0.74222531318664553</v>
      </c>
      <c r="Q10">
        <f t="shared" si="0"/>
        <v>0.74161484241485598</v>
      </c>
      <c r="R10">
        <v>0.9998176097869873</v>
      </c>
    </row>
    <row r="11" spans="1:18" x14ac:dyDescent="0.45">
      <c r="A11" s="5">
        <v>10</v>
      </c>
      <c r="B11" s="5" t="s">
        <v>12</v>
      </c>
      <c r="C11" s="5" t="s">
        <v>49</v>
      </c>
      <c r="D11" s="5" t="s">
        <v>50</v>
      </c>
      <c r="E11" s="5" t="s">
        <v>51</v>
      </c>
      <c r="F11" s="5" t="s">
        <v>52</v>
      </c>
      <c r="G11" s="5" t="s">
        <v>50</v>
      </c>
      <c r="H11">
        <v>5.6122223243057302E-2</v>
      </c>
      <c r="I11">
        <v>0.78766775131225586</v>
      </c>
      <c r="J11">
        <v>0.77618664503097534</v>
      </c>
      <c r="K11">
        <v>0.78188502788543701</v>
      </c>
      <c r="L11">
        <v>0.99997693300247192</v>
      </c>
      <c r="N11">
        <f t="shared" si="1"/>
        <v>0.35612222324305731</v>
      </c>
      <c r="O11">
        <f t="shared" si="2"/>
        <v>0.93766775131225588</v>
      </c>
      <c r="P11">
        <f t="shared" si="0"/>
        <v>0.92618664503097536</v>
      </c>
      <c r="Q11">
        <f t="shared" si="0"/>
        <v>0.93188502788543703</v>
      </c>
      <c r="R11">
        <v>0.99997693300247192</v>
      </c>
    </row>
    <row r="12" spans="1:18" x14ac:dyDescent="0.45">
      <c r="A12" s="5">
        <v>11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  <c r="G12" s="5" t="s">
        <v>55</v>
      </c>
      <c r="H12">
        <v>0.38176664604511268</v>
      </c>
      <c r="I12">
        <v>0.84680336713790894</v>
      </c>
      <c r="J12">
        <v>0.87064433097839355</v>
      </c>
      <c r="K12">
        <v>0.85855835676193237</v>
      </c>
      <c r="L12">
        <v>0.98754775524139404</v>
      </c>
      <c r="N12">
        <f t="shared" si="1"/>
        <v>0.68176664604511261</v>
      </c>
      <c r="O12">
        <f t="shared" si="2"/>
        <v>0.99680336713790896</v>
      </c>
      <c r="P12">
        <f>J12</f>
        <v>0.87064433097839355</v>
      </c>
      <c r="Q12">
        <f>K12</f>
        <v>0.85855835676193237</v>
      </c>
      <c r="R12">
        <v>0.98754775524139404</v>
      </c>
    </row>
    <row r="13" spans="1:18" x14ac:dyDescent="0.45">
      <c r="A13" s="5">
        <v>12</v>
      </c>
      <c r="B13" s="5" t="s">
        <v>53</v>
      </c>
      <c r="C13" s="5" t="s">
        <v>58</v>
      </c>
      <c r="D13" s="5" t="s">
        <v>59</v>
      </c>
      <c r="E13" s="5" t="s">
        <v>60</v>
      </c>
      <c r="F13" s="5" t="s">
        <v>61</v>
      </c>
      <c r="G13" s="5" t="s">
        <v>59</v>
      </c>
      <c r="H13">
        <v>0.43788268658607937</v>
      </c>
      <c r="I13">
        <v>0.76624774932861328</v>
      </c>
      <c r="J13">
        <v>0.79113143682479858</v>
      </c>
      <c r="K13">
        <v>0.77849072217941284</v>
      </c>
      <c r="L13">
        <v>0.99550426006317139</v>
      </c>
      <c r="N13">
        <f t="shared" si="1"/>
        <v>0.73788268658607936</v>
      </c>
      <c r="O13">
        <f t="shared" si="2"/>
        <v>0.9162477493286133</v>
      </c>
      <c r="P13">
        <f t="shared" si="0"/>
        <v>0.94113143682479861</v>
      </c>
      <c r="Q13">
        <f t="shared" si="0"/>
        <v>0.92849072217941286</v>
      </c>
      <c r="R13">
        <v>0.99550426006317139</v>
      </c>
    </row>
    <row r="14" spans="1:18" x14ac:dyDescent="0.45">
      <c r="A14" s="5">
        <v>13</v>
      </c>
      <c r="B14" s="5" t="s">
        <v>53</v>
      </c>
      <c r="C14" s="5" t="s">
        <v>62</v>
      </c>
      <c r="D14" s="5" t="s">
        <v>63</v>
      </c>
      <c r="E14" s="5" t="s">
        <v>64</v>
      </c>
      <c r="F14" s="5" t="s">
        <v>65</v>
      </c>
      <c r="G14" s="5" t="s">
        <v>63</v>
      </c>
      <c r="H14">
        <v>0.1769497514953256</v>
      </c>
      <c r="I14">
        <v>0.6903764009475708</v>
      </c>
      <c r="J14">
        <v>0.72778749465942383</v>
      </c>
      <c r="K14">
        <v>0.70858848094940186</v>
      </c>
      <c r="L14">
        <v>0.98465168476104736</v>
      </c>
      <c r="N14">
        <f t="shared" si="1"/>
        <v>0.47694975149532559</v>
      </c>
      <c r="O14">
        <f t="shared" si="2"/>
        <v>0.84037640094757082</v>
      </c>
      <c r="P14">
        <f t="shared" si="0"/>
        <v>0.87778749465942385</v>
      </c>
      <c r="Q14">
        <f t="shared" si="0"/>
        <v>0.85858848094940188</v>
      </c>
      <c r="R14">
        <v>0.98465168476104736</v>
      </c>
    </row>
    <row r="15" spans="1:18" x14ac:dyDescent="0.45">
      <c r="A15" s="5">
        <v>14</v>
      </c>
      <c r="B15" s="5" t="s">
        <v>53</v>
      </c>
      <c r="C15" s="5" t="s">
        <v>66</v>
      </c>
      <c r="D15" s="5" t="s">
        <v>67</v>
      </c>
      <c r="E15" s="5" t="s">
        <v>68</v>
      </c>
      <c r="F15" s="5" t="s">
        <v>69</v>
      </c>
      <c r="G15" s="5" t="s">
        <v>67</v>
      </c>
      <c r="H15">
        <v>8.9478532007707626E-2</v>
      </c>
      <c r="I15">
        <v>0.72133290767669678</v>
      </c>
      <c r="J15">
        <v>0.69700837135314941</v>
      </c>
      <c r="K15">
        <v>0.708962082862854</v>
      </c>
      <c r="L15">
        <v>0.99867904186248779</v>
      </c>
      <c r="N15">
        <f t="shared" si="1"/>
        <v>0.3894785320077076</v>
      </c>
      <c r="O15">
        <f t="shared" si="2"/>
        <v>0.8713329076766968</v>
      </c>
      <c r="P15">
        <f t="shared" si="0"/>
        <v>0.84700837135314944</v>
      </c>
      <c r="Q15">
        <f t="shared" si="0"/>
        <v>0.85896208286285403</v>
      </c>
      <c r="R15">
        <v>0.99867904186248779</v>
      </c>
    </row>
    <row r="16" spans="1:18" x14ac:dyDescent="0.45">
      <c r="A16" s="5">
        <v>15</v>
      </c>
      <c r="B16" s="5" t="s">
        <v>53</v>
      </c>
      <c r="C16" s="5" t="s">
        <v>70</v>
      </c>
      <c r="D16" s="5" t="s">
        <v>71</v>
      </c>
      <c r="E16" s="5" t="s">
        <v>72</v>
      </c>
      <c r="F16" s="5" t="s">
        <v>73</v>
      </c>
      <c r="G16" s="5" t="s">
        <v>71</v>
      </c>
      <c r="H16">
        <v>0.10517814398304309</v>
      </c>
      <c r="I16">
        <v>0.78783106803894043</v>
      </c>
      <c r="J16">
        <v>0.8276904821395874</v>
      </c>
      <c r="K16">
        <v>0.80726909637451172</v>
      </c>
      <c r="L16">
        <v>0.99975991249084473</v>
      </c>
      <c r="N16">
        <f t="shared" si="1"/>
        <v>0.40517814398304308</v>
      </c>
      <c r="O16">
        <f t="shared" si="2"/>
        <v>0.93783106803894045</v>
      </c>
      <c r="P16">
        <f t="shared" si="0"/>
        <v>0.97769048213958742</v>
      </c>
      <c r="Q16">
        <f t="shared" si="0"/>
        <v>0.95726909637451174</v>
      </c>
      <c r="R16">
        <v>0.99975991249084473</v>
      </c>
    </row>
    <row r="17" spans="1:18" x14ac:dyDescent="0.45">
      <c r="A17" s="5">
        <v>16</v>
      </c>
      <c r="B17" s="5" t="s">
        <v>53</v>
      </c>
      <c r="C17" s="5" t="s">
        <v>74</v>
      </c>
      <c r="D17" s="5" t="s">
        <v>75</v>
      </c>
      <c r="E17" s="5" t="s">
        <v>76</v>
      </c>
      <c r="F17" s="5" t="s">
        <v>77</v>
      </c>
      <c r="G17" s="5" t="s">
        <v>75</v>
      </c>
      <c r="H17">
        <v>0.10120193244194391</v>
      </c>
      <c r="I17">
        <v>0.75054448843002319</v>
      </c>
      <c r="J17">
        <v>0.79772067070007324</v>
      </c>
      <c r="K17">
        <v>0.77341377735137939</v>
      </c>
      <c r="L17">
        <v>0.99986934661865234</v>
      </c>
      <c r="N17">
        <f t="shared" si="1"/>
        <v>0.40120193244194391</v>
      </c>
      <c r="O17">
        <f t="shared" si="2"/>
        <v>0.90054448843002322</v>
      </c>
      <c r="P17">
        <f t="shared" si="0"/>
        <v>0.94772067070007326</v>
      </c>
      <c r="Q17">
        <f t="shared" si="0"/>
        <v>0.92341377735137942</v>
      </c>
      <c r="R17">
        <v>0.99986934661865234</v>
      </c>
    </row>
    <row r="18" spans="1:18" x14ac:dyDescent="0.45">
      <c r="A18" s="5">
        <v>17</v>
      </c>
      <c r="B18" s="5" t="s">
        <v>53</v>
      </c>
      <c r="C18" s="5" t="s">
        <v>78</v>
      </c>
      <c r="D18" s="5" t="s">
        <v>79</v>
      </c>
      <c r="E18" s="5" t="s">
        <v>80</v>
      </c>
      <c r="F18" s="5" t="s">
        <v>81</v>
      </c>
      <c r="G18" s="5" t="s">
        <v>79</v>
      </c>
      <c r="H18">
        <v>3.2709344708772167E-2</v>
      </c>
      <c r="I18">
        <v>0.66245073080062866</v>
      </c>
      <c r="J18">
        <v>0.66230994462966919</v>
      </c>
      <c r="K18">
        <v>0.66238033771514893</v>
      </c>
      <c r="L18">
        <v>0.99677658081054688</v>
      </c>
      <c r="N18">
        <f t="shared" si="1"/>
        <v>0.33270934470877217</v>
      </c>
      <c r="O18">
        <f t="shared" si="2"/>
        <v>0.81245073080062868</v>
      </c>
      <c r="P18">
        <f t="shared" ref="P18:P21" si="3">J18+0.15</f>
        <v>0.81230994462966921</v>
      </c>
      <c r="Q18">
        <f t="shared" ref="Q18:Q21" si="4">K18+0.15</f>
        <v>0.81238033771514895</v>
      </c>
      <c r="R18">
        <v>0.99677658081054688</v>
      </c>
    </row>
    <row r="19" spans="1:18" x14ac:dyDescent="0.45">
      <c r="A19" s="5">
        <v>18</v>
      </c>
      <c r="B19" s="5" t="s">
        <v>53</v>
      </c>
      <c r="C19" s="5" t="s">
        <v>82</v>
      </c>
      <c r="D19" s="5" t="s">
        <v>83</v>
      </c>
      <c r="E19" s="5" t="s">
        <v>84</v>
      </c>
      <c r="F19" s="5" t="s">
        <v>85</v>
      </c>
      <c r="G19" s="5" t="s">
        <v>83</v>
      </c>
      <c r="H19">
        <v>8.6095837103840334E-2</v>
      </c>
      <c r="I19">
        <v>0.75008732080459595</v>
      </c>
      <c r="J19">
        <v>0.76620304584503174</v>
      </c>
      <c r="K19">
        <v>0.75805950164794922</v>
      </c>
      <c r="L19">
        <v>0.99853682518005371</v>
      </c>
      <c r="N19">
        <f t="shared" si="1"/>
        <v>0.38609583710384032</v>
      </c>
      <c r="O19">
        <f t="shared" si="2"/>
        <v>0.90008732080459597</v>
      </c>
      <c r="P19">
        <f t="shared" si="3"/>
        <v>0.91620304584503176</v>
      </c>
      <c r="Q19">
        <f t="shared" si="4"/>
        <v>0.90805950164794924</v>
      </c>
      <c r="R19">
        <v>0.99853682518005371</v>
      </c>
    </row>
    <row r="20" spans="1:18" x14ac:dyDescent="0.45">
      <c r="A20" s="5">
        <v>19</v>
      </c>
      <c r="B20" s="5" t="s">
        <v>53</v>
      </c>
      <c r="C20" s="5" t="s">
        <v>86</v>
      </c>
      <c r="D20" s="5" t="s">
        <v>87</v>
      </c>
      <c r="E20" s="5" t="s">
        <v>88</v>
      </c>
      <c r="F20" s="5" t="s">
        <v>89</v>
      </c>
      <c r="G20" s="5" t="s">
        <v>87</v>
      </c>
      <c r="H20">
        <v>2.0200106912694159E-2</v>
      </c>
      <c r="I20">
        <v>0.62574326992034912</v>
      </c>
      <c r="J20">
        <v>0.62502282857894897</v>
      </c>
      <c r="K20">
        <v>0.62538290023803711</v>
      </c>
      <c r="L20">
        <v>0.99909323453903198</v>
      </c>
      <c r="N20">
        <f t="shared" si="1"/>
        <v>0.32020010691269413</v>
      </c>
      <c r="O20">
        <f t="shared" si="2"/>
        <v>0.77574326992034914</v>
      </c>
      <c r="P20">
        <f t="shared" si="3"/>
        <v>0.775022828578949</v>
      </c>
      <c r="Q20">
        <f t="shared" si="4"/>
        <v>0.77538290023803713</v>
      </c>
      <c r="R20">
        <v>0.99909323453903198</v>
      </c>
    </row>
    <row r="21" spans="1:18" x14ac:dyDescent="0.45">
      <c r="A21" s="5">
        <v>20</v>
      </c>
      <c r="B21" s="5" t="s">
        <v>53</v>
      </c>
      <c r="C21" s="5" t="s">
        <v>90</v>
      </c>
      <c r="D21" s="5" t="s">
        <v>91</v>
      </c>
      <c r="E21" s="5" t="s">
        <v>92</v>
      </c>
      <c r="F21" s="5" t="s">
        <v>93</v>
      </c>
      <c r="G21" s="5" t="s">
        <v>91</v>
      </c>
      <c r="H21">
        <v>6.4841150713976461E-2</v>
      </c>
      <c r="I21">
        <v>0.81704151630401611</v>
      </c>
      <c r="J21">
        <v>0.83314323425292969</v>
      </c>
      <c r="K21">
        <v>0.82501387596130371</v>
      </c>
      <c r="L21">
        <v>0.99990123510360718</v>
      </c>
      <c r="N21">
        <f t="shared" si="1"/>
        <v>0.36484115071397644</v>
      </c>
      <c r="O21">
        <f t="shared" si="2"/>
        <v>0.96704151630401614</v>
      </c>
      <c r="P21">
        <f t="shared" si="3"/>
        <v>0.98314323425292971</v>
      </c>
      <c r="Q21">
        <f t="shared" si="4"/>
        <v>0.97501387596130373</v>
      </c>
      <c r="R21">
        <v>0.99990123510360718</v>
      </c>
    </row>
    <row r="22" spans="1:18" x14ac:dyDescent="0.45">
      <c r="A22" s="5">
        <v>21</v>
      </c>
      <c r="B22" s="5" t="s">
        <v>12</v>
      </c>
      <c r="C22" s="5" t="s">
        <v>13</v>
      </c>
      <c r="D22" s="5" t="s">
        <v>14</v>
      </c>
      <c r="E22" s="5" t="s">
        <v>15</v>
      </c>
      <c r="F22" s="5" t="s">
        <v>16</v>
      </c>
      <c r="G22" s="5" t="s">
        <v>14</v>
      </c>
    </row>
    <row r="23" spans="1:18" x14ac:dyDescent="0.45">
      <c r="A23" s="5">
        <v>22</v>
      </c>
      <c r="B23" s="5" t="s">
        <v>12</v>
      </c>
      <c r="C23" s="5" t="s">
        <v>17</v>
      </c>
      <c r="D23" s="5" t="s">
        <v>18</v>
      </c>
      <c r="E23" s="5" t="s">
        <v>19</v>
      </c>
      <c r="F23" s="5" t="s">
        <v>20</v>
      </c>
      <c r="G23" s="5" t="s">
        <v>18</v>
      </c>
    </row>
    <row r="24" spans="1:18" x14ac:dyDescent="0.45">
      <c r="A24" s="5">
        <v>23</v>
      </c>
      <c r="B24" s="5" t="s">
        <v>12</v>
      </c>
      <c r="C24" s="5" t="s">
        <v>21</v>
      </c>
      <c r="D24" s="5" t="s">
        <v>22</v>
      </c>
      <c r="E24" s="5" t="s">
        <v>23</v>
      </c>
      <c r="F24" s="5" t="s">
        <v>24</v>
      </c>
      <c r="G24" s="5" t="s">
        <v>22</v>
      </c>
    </row>
    <row r="25" spans="1:18" x14ac:dyDescent="0.45">
      <c r="A25" s="5">
        <v>24</v>
      </c>
      <c r="B25" s="5" t="s">
        <v>12</v>
      </c>
      <c r="C25" s="5" t="s">
        <v>25</v>
      </c>
      <c r="D25" s="5" t="s">
        <v>26</v>
      </c>
      <c r="E25" s="5" t="s">
        <v>27</v>
      </c>
      <c r="F25" s="5" t="s">
        <v>28</v>
      </c>
      <c r="G25" s="5" t="s">
        <v>26</v>
      </c>
    </row>
    <row r="26" spans="1:18" x14ac:dyDescent="0.45">
      <c r="A26" s="5">
        <v>25</v>
      </c>
      <c r="B26" s="5" t="s">
        <v>12</v>
      </c>
      <c r="C26" s="5" t="s">
        <v>29</v>
      </c>
      <c r="D26" s="5" t="s">
        <v>30</v>
      </c>
      <c r="E26" s="5" t="s">
        <v>31</v>
      </c>
      <c r="F26" s="5" t="s">
        <v>32</v>
      </c>
      <c r="G26" s="5" t="s">
        <v>30</v>
      </c>
    </row>
    <row r="27" spans="1:18" x14ac:dyDescent="0.45">
      <c r="A27" s="5">
        <v>26</v>
      </c>
      <c r="B27" s="5" t="s">
        <v>12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34</v>
      </c>
    </row>
    <row r="28" spans="1:18" x14ac:dyDescent="0.45">
      <c r="A28" s="5">
        <v>27</v>
      </c>
      <c r="B28" s="5" t="s">
        <v>12</v>
      </c>
      <c r="C28" s="5" t="s">
        <v>37</v>
      </c>
      <c r="D28" s="5" t="s">
        <v>38</v>
      </c>
      <c r="E28" s="5" t="s">
        <v>39</v>
      </c>
      <c r="F28" s="5" t="s">
        <v>40</v>
      </c>
      <c r="G28" s="5" t="s">
        <v>38</v>
      </c>
    </row>
    <row r="29" spans="1:18" x14ac:dyDescent="0.45">
      <c r="A29" s="5">
        <v>28</v>
      </c>
      <c r="B29" s="5" t="s">
        <v>12</v>
      </c>
      <c r="C29" s="5" t="s">
        <v>41</v>
      </c>
      <c r="D29" s="5" t="s">
        <v>42</v>
      </c>
      <c r="E29" s="5" t="s">
        <v>43</v>
      </c>
      <c r="F29" s="5" t="s">
        <v>44</v>
      </c>
      <c r="G29" s="5" t="s">
        <v>42</v>
      </c>
    </row>
    <row r="30" spans="1:18" x14ac:dyDescent="0.45">
      <c r="A30" s="5">
        <v>29</v>
      </c>
      <c r="B30" s="5" t="s">
        <v>12</v>
      </c>
      <c r="C30" s="5" t="s">
        <v>45</v>
      </c>
      <c r="D30" s="5" t="s">
        <v>46</v>
      </c>
      <c r="E30" s="5" t="s">
        <v>47</v>
      </c>
      <c r="F30" s="5" t="s">
        <v>48</v>
      </c>
      <c r="G30" s="5" t="s">
        <v>46</v>
      </c>
    </row>
    <row r="31" spans="1:18" x14ac:dyDescent="0.45">
      <c r="A31" s="5">
        <v>30</v>
      </c>
      <c r="B31" s="5" t="s">
        <v>12</v>
      </c>
      <c r="C31" s="5" t="s">
        <v>49</v>
      </c>
      <c r="D31" s="5" t="s">
        <v>50</v>
      </c>
      <c r="E31" s="5" t="s">
        <v>51</v>
      </c>
      <c r="F31" s="5" t="s">
        <v>52</v>
      </c>
      <c r="G31" s="5" t="s">
        <v>50</v>
      </c>
    </row>
    <row r="32" spans="1:18" x14ac:dyDescent="0.45">
      <c r="A32" s="5">
        <v>31</v>
      </c>
      <c r="B32" s="5" t="s">
        <v>53</v>
      </c>
      <c r="C32" s="5" t="s">
        <v>54</v>
      </c>
      <c r="D32" s="5" t="s">
        <v>55</v>
      </c>
      <c r="E32" s="5" t="s">
        <v>56</v>
      </c>
      <c r="F32" s="5" t="s">
        <v>57</v>
      </c>
      <c r="G32" s="5" t="s">
        <v>55</v>
      </c>
    </row>
    <row r="33" spans="1:7" x14ac:dyDescent="0.45">
      <c r="A33" s="5">
        <v>32</v>
      </c>
      <c r="B33" s="5" t="s">
        <v>53</v>
      </c>
      <c r="C33" s="5" t="s">
        <v>58</v>
      </c>
      <c r="D33" s="5" t="s">
        <v>59</v>
      </c>
      <c r="E33" s="5" t="s">
        <v>60</v>
      </c>
      <c r="F33" s="5" t="s">
        <v>61</v>
      </c>
      <c r="G33" s="5" t="s">
        <v>59</v>
      </c>
    </row>
    <row r="34" spans="1:7" x14ac:dyDescent="0.45">
      <c r="A34" s="5">
        <v>33</v>
      </c>
      <c r="B34" s="5" t="s">
        <v>53</v>
      </c>
      <c r="C34" s="5" t="s">
        <v>62</v>
      </c>
      <c r="D34" s="5" t="s">
        <v>63</v>
      </c>
      <c r="E34" s="5" t="s">
        <v>64</v>
      </c>
      <c r="F34" s="5" t="s">
        <v>65</v>
      </c>
      <c r="G34" s="5" t="s">
        <v>63</v>
      </c>
    </row>
    <row r="35" spans="1:7" x14ac:dyDescent="0.45">
      <c r="A35" s="5">
        <v>34</v>
      </c>
      <c r="B35" s="5" t="s">
        <v>53</v>
      </c>
      <c r="C35" s="5" t="s">
        <v>66</v>
      </c>
      <c r="D35" s="5" t="s">
        <v>67</v>
      </c>
      <c r="E35" s="5" t="s">
        <v>68</v>
      </c>
      <c r="F35" s="5" t="s">
        <v>69</v>
      </c>
      <c r="G35" s="5" t="s">
        <v>67</v>
      </c>
    </row>
    <row r="36" spans="1:7" x14ac:dyDescent="0.45">
      <c r="A36" s="5">
        <v>35</v>
      </c>
      <c r="B36" s="5" t="s">
        <v>53</v>
      </c>
      <c r="C36" s="5" t="s">
        <v>70</v>
      </c>
      <c r="D36" s="5" t="s">
        <v>71</v>
      </c>
      <c r="E36" s="5" t="s">
        <v>72</v>
      </c>
      <c r="F36" s="5" t="s">
        <v>73</v>
      </c>
      <c r="G36" s="5" t="s">
        <v>71</v>
      </c>
    </row>
    <row r="37" spans="1:7" x14ac:dyDescent="0.45">
      <c r="A37" s="5">
        <v>36</v>
      </c>
      <c r="B37" s="5" t="s">
        <v>53</v>
      </c>
      <c r="C37" s="5" t="s">
        <v>74</v>
      </c>
      <c r="D37" s="5" t="s">
        <v>75</v>
      </c>
      <c r="E37" s="5" t="s">
        <v>76</v>
      </c>
      <c r="F37" s="5" t="s">
        <v>77</v>
      </c>
      <c r="G37" s="5" t="s">
        <v>75</v>
      </c>
    </row>
    <row r="38" spans="1:7" x14ac:dyDescent="0.45">
      <c r="A38" s="5">
        <v>37</v>
      </c>
      <c r="B38" s="5" t="s">
        <v>53</v>
      </c>
      <c r="C38" s="5" t="s">
        <v>78</v>
      </c>
      <c r="D38" s="5" t="s">
        <v>79</v>
      </c>
      <c r="E38" s="5" t="s">
        <v>80</v>
      </c>
      <c r="F38" s="5" t="s">
        <v>81</v>
      </c>
      <c r="G38" s="5" t="s">
        <v>79</v>
      </c>
    </row>
    <row r="39" spans="1:7" x14ac:dyDescent="0.45">
      <c r="A39" s="5">
        <v>38</v>
      </c>
      <c r="B39" s="5" t="s">
        <v>53</v>
      </c>
      <c r="C39" s="5" t="s">
        <v>82</v>
      </c>
      <c r="D39" s="5" t="s">
        <v>83</v>
      </c>
      <c r="E39" s="5" t="s">
        <v>84</v>
      </c>
      <c r="F39" s="5" t="s">
        <v>85</v>
      </c>
      <c r="G39" s="5" t="s">
        <v>83</v>
      </c>
    </row>
    <row r="40" spans="1:7" x14ac:dyDescent="0.45">
      <c r="A40" s="5">
        <v>39</v>
      </c>
      <c r="B40" s="5" t="s">
        <v>53</v>
      </c>
      <c r="C40" s="5" t="s">
        <v>86</v>
      </c>
      <c r="D40" s="5" t="s">
        <v>87</v>
      </c>
      <c r="E40" s="5" t="s">
        <v>88</v>
      </c>
      <c r="F40" s="5" t="s">
        <v>89</v>
      </c>
      <c r="G40" s="5" t="s">
        <v>87</v>
      </c>
    </row>
    <row r="41" spans="1:7" x14ac:dyDescent="0.45">
      <c r="A41" s="5">
        <v>40</v>
      </c>
      <c r="B41" s="5" t="s">
        <v>53</v>
      </c>
      <c r="C41" s="5" t="s">
        <v>90</v>
      </c>
      <c r="D41" s="5" t="s">
        <v>91</v>
      </c>
      <c r="E41" s="5" t="s">
        <v>92</v>
      </c>
      <c r="F41" s="5" t="s">
        <v>93</v>
      </c>
      <c r="G41" s="5" t="s">
        <v>91</v>
      </c>
    </row>
    <row r="42" spans="1:7" x14ac:dyDescent="0.45">
      <c r="A42" s="5">
        <v>41</v>
      </c>
      <c r="B42" s="5" t="s">
        <v>12</v>
      </c>
      <c r="C42" s="5" t="s">
        <v>94</v>
      </c>
      <c r="D42" s="5" t="s">
        <v>95</v>
      </c>
      <c r="E42" s="5" t="s">
        <v>96</v>
      </c>
      <c r="F42" s="5" t="s">
        <v>97</v>
      </c>
      <c r="G42" s="5" t="s">
        <v>98</v>
      </c>
    </row>
    <row r="43" spans="1:7" x14ac:dyDescent="0.45">
      <c r="A43" s="5">
        <v>42</v>
      </c>
      <c r="B43" s="5" t="s">
        <v>12</v>
      </c>
      <c r="C43" s="5" t="s">
        <v>99</v>
      </c>
      <c r="D43" s="5" t="s">
        <v>100</v>
      </c>
      <c r="E43" s="5" t="s">
        <v>101</v>
      </c>
      <c r="F43" s="5" t="s">
        <v>102</v>
      </c>
      <c r="G43" s="5" t="s">
        <v>103</v>
      </c>
    </row>
    <row r="44" spans="1:7" x14ac:dyDescent="0.45">
      <c r="A44" s="5">
        <v>43</v>
      </c>
      <c r="B44" s="5" t="s">
        <v>12</v>
      </c>
      <c r="C44" s="5" t="s">
        <v>104</v>
      </c>
      <c r="D44" s="5" t="s">
        <v>105</v>
      </c>
      <c r="E44" s="5" t="s">
        <v>106</v>
      </c>
      <c r="F44" s="5" t="s">
        <v>107</v>
      </c>
      <c r="G44" s="5" t="s">
        <v>108</v>
      </c>
    </row>
    <row r="45" spans="1:7" x14ac:dyDescent="0.45">
      <c r="A45" s="5">
        <v>44</v>
      </c>
      <c r="B45" s="5" t="s">
        <v>12</v>
      </c>
      <c r="C45" s="5" t="s">
        <v>109</v>
      </c>
      <c r="D45" s="5" t="s">
        <v>110</v>
      </c>
      <c r="E45" s="5" t="s">
        <v>111</v>
      </c>
      <c r="F45" s="5" t="s">
        <v>112</v>
      </c>
      <c r="G45" s="5" t="s">
        <v>113</v>
      </c>
    </row>
    <row r="46" spans="1:7" x14ac:dyDescent="0.45">
      <c r="A46" s="5">
        <v>45</v>
      </c>
      <c r="B46" s="5" t="s">
        <v>12</v>
      </c>
      <c r="C46" s="5" t="s">
        <v>114</v>
      </c>
      <c r="D46" s="5" t="s">
        <v>115</v>
      </c>
      <c r="E46" s="5" t="s">
        <v>116</v>
      </c>
      <c r="F46" s="5" t="s">
        <v>117</v>
      </c>
      <c r="G46" s="5" t="s">
        <v>118</v>
      </c>
    </row>
    <row r="47" spans="1:7" x14ac:dyDescent="0.45">
      <c r="A47" s="5">
        <v>46</v>
      </c>
      <c r="B47" s="5" t="s">
        <v>12</v>
      </c>
      <c r="C47" s="5" t="s">
        <v>119</v>
      </c>
      <c r="D47" s="5" t="s">
        <v>120</v>
      </c>
      <c r="E47" s="5" t="s">
        <v>121</v>
      </c>
      <c r="F47" s="5" t="s">
        <v>122</v>
      </c>
      <c r="G47" s="5" t="s">
        <v>123</v>
      </c>
    </row>
    <row r="48" spans="1:7" x14ac:dyDescent="0.45">
      <c r="A48" s="5">
        <v>47</v>
      </c>
      <c r="B48" s="5" t="s">
        <v>12</v>
      </c>
      <c r="C48" s="5" t="s">
        <v>124</v>
      </c>
      <c r="D48" s="5" t="s">
        <v>125</v>
      </c>
      <c r="E48" s="5" t="s">
        <v>126</v>
      </c>
      <c r="F48" s="5" t="s">
        <v>127</v>
      </c>
      <c r="G48" s="5" t="s">
        <v>128</v>
      </c>
    </row>
    <row r="49" spans="1:7" x14ac:dyDescent="0.45">
      <c r="A49" s="5">
        <v>48</v>
      </c>
      <c r="B49" s="5" t="s">
        <v>12</v>
      </c>
      <c r="C49" s="5" t="s">
        <v>129</v>
      </c>
      <c r="D49" s="5" t="s">
        <v>130</v>
      </c>
      <c r="E49" s="5" t="s">
        <v>131</v>
      </c>
      <c r="F49" s="5" t="s">
        <v>132</v>
      </c>
      <c r="G49" s="5" t="s">
        <v>133</v>
      </c>
    </row>
    <row r="50" spans="1:7" x14ac:dyDescent="0.45">
      <c r="A50" s="5">
        <v>49</v>
      </c>
      <c r="B50" s="5" t="s">
        <v>12</v>
      </c>
      <c r="C50" s="5" t="s">
        <v>134</v>
      </c>
      <c r="D50" s="5" t="s">
        <v>135</v>
      </c>
      <c r="E50" s="5" t="s">
        <v>136</v>
      </c>
      <c r="F50" s="5" t="s">
        <v>137</v>
      </c>
      <c r="G50" s="5" t="s">
        <v>138</v>
      </c>
    </row>
    <row r="51" spans="1:7" x14ac:dyDescent="0.45">
      <c r="A51" s="5">
        <v>50</v>
      </c>
      <c r="B51" s="5" t="s">
        <v>12</v>
      </c>
      <c r="C51" s="5" t="s">
        <v>139</v>
      </c>
      <c r="D51" s="5" t="s">
        <v>140</v>
      </c>
      <c r="E51" s="5" t="s">
        <v>141</v>
      </c>
      <c r="F51" s="5" t="s">
        <v>142</v>
      </c>
      <c r="G51" s="5" t="s">
        <v>143</v>
      </c>
    </row>
    <row r="52" spans="1:7" x14ac:dyDescent="0.45">
      <c r="A52" s="5">
        <v>51</v>
      </c>
      <c r="B52" s="5" t="s">
        <v>12</v>
      </c>
      <c r="C52" s="5" t="s">
        <v>144</v>
      </c>
      <c r="D52" s="5" t="s">
        <v>145</v>
      </c>
      <c r="E52" s="5" t="s">
        <v>146</v>
      </c>
      <c r="F52" s="5" t="s">
        <v>147</v>
      </c>
      <c r="G52" s="5" t="s">
        <v>148</v>
      </c>
    </row>
    <row r="53" spans="1:7" x14ac:dyDescent="0.45">
      <c r="A53" s="5">
        <v>52</v>
      </c>
      <c r="B53" s="5" t="s">
        <v>12</v>
      </c>
      <c r="C53" s="5" t="s">
        <v>149</v>
      </c>
      <c r="D53" s="5" t="s">
        <v>150</v>
      </c>
      <c r="E53" s="5" t="s">
        <v>151</v>
      </c>
      <c r="F53" s="5" t="s">
        <v>152</v>
      </c>
      <c r="G53" s="5" t="s">
        <v>153</v>
      </c>
    </row>
    <row r="54" spans="1:7" x14ac:dyDescent="0.45">
      <c r="A54" s="5">
        <v>53</v>
      </c>
      <c r="B54" s="5" t="s">
        <v>12</v>
      </c>
      <c r="C54" s="5" t="s">
        <v>154</v>
      </c>
      <c r="D54" s="5" t="s">
        <v>155</v>
      </c>
      <c r="E54" s="5" t="s">
        <v>156</v>
      </c>
      <c r="F54" s="5" t="s">
        <v>157</v>
      </c>
      <c r="G54" s="5" t="s">
        <v>158</v>
      </c>
    </row>
    <row r="55" spans="1:7" x14ac:dyDescent="0.45">
      <c r="A55" s="5">
        <v>54</v>
      </c>
      <c r="B55" s="5" t="s">
        <v>12</v>
      </c>
      <c r="C55" s="5" t="s">
        <v>159</v>
      </c>
      <c r="D55" s="5" t="s">
        <v>160</v>
      </c>
      <c r="E55" s="5" t="s">
        <v>161</v>
      </c>
      <c r="F55" s="5" t="s">
        <v>162</v>
      </c>
      <c r="G55" s="5" t="s">
        <v>163</v>
      </c>
    </row>
    <row r="56" spans="1:7" x14ac:dyDescent="0.45">
      <c r="A56" s="5">
        <v>55</v>
      </c>
      <c r="B56" s="5" t="s">
        <v>12</v>
      </c>
      <c r="C56" s="5" t="s">
        <v>164</v>
      </c>
      <c r="D56" s="5" t="s">
        <v>165</v>
      </c>
      <c r="E56" s="5" t="s">
        <v>166</v>
      </c>
      <c r="F56" s="5" t="s">
        <v>167</v>
      </c>
      <c r="G56" s="5" t="s">
        <v>168</v>
      </c>
    </row>
    <row r="57" spans="1:7" x14ac:dyDescent="0.45">
      <c r="A57" s="5">
        <v>56</v>
      </c>
      <c r="B57" s="5" t="s">
        <v>12</v>
      </c>
      <c r="C57" s="5" t="s">
        <v>169</v>
      </c>
      <c r="D57" s="5" t="s">
        <v>170</v>
      </c>
      <c r="E57" s="5" t="s">
        <v>171</v>
      </c>
      <c r="F57" s="5" t="s">
        <v>172</v>
      </c>
      <c r="G57" s="5" t="s">
        <v>173</v>
      </c>
    </row>
    <row r="58" spans="1:7" x14ac:dyDescent="0.45">
      <c r="A58" s="5">
        <v>57</v>
      </c>
      <c r="B58" s="5" t="s">
        <v>12</v>
      </c>
      <c r="C58" s="5" t="s">
        <v>174</v>
      </c>
      <c r="D58" s="5" t="s">
        <v>175</v>
      </c>
      <c r="E58" s="5" t="s">
        <v>176</v>
      </c>
      <c r="F58" s="5" t="s">
        <v>177</v>
      </c>
      <c r="G58" s="5" t="s">
        <v>178</v>
      </c>
    </row>
    <row r="59" spans="1:7" x14ac:dyDescent="0.45">
      <c r="A59" s="5">
        <v>58</v>
      </c>
      <c r="B59" s="5" t="s">
        <v>12</v>
      </c>
      <c r="C59" s="5" t="s">
        <v>179</v>
      </c>
      <c r="D59" s="5" t="s">
        <v>180</v>
      </c>
      <c r="E59" s="5" t="s">
        <v>181</v>
      </c>
      <c r="F59" s="5" t="s">
        <v>182</v>
      </c>
      <c r="G59" s="5" t="s">
        <v>183</v>
      </c>
    </row>
    <row r="60" spans="1:7" x14ac:dyDescent="0.45">
      <c r="A60" s="5">
        <v>59</v>
      </c>
      <c r="B60" s="5" t="s">
        <v>12</v>
      </c>
      <c r="C60" s="5" t="s">
        <v>184</v>
      </c>
      <c r="D60" s="5" t="s">
        <v>185</v>
      </c>
      <c r="E60" s="5" t="s">
        <v>186</v>
      </c>
      <c r="F60" s="5" t="s">
        <v>187</v>
      </c>
      <c r="G60" s="5" t="s">
        <v>188</v>
      </c>
    </row>
    <row r="61" spans="1:7" x14ac:dyDescent="0.45">
      <c r="A61" s="5">
        <v>60</v>
      </c>
      <c r="B61" s="5" t="s">
        <v>12</v>
      </c>
      <c r="C61" s="5" t="s">
        <v>189</v>
      </c>
      <c r="D61" s="5" t="s">
        <v>190</v>
      </c>
      <c r="E61" s="5" t="s">
        <v>191</v>
      </c>
      <c r="F61" s="5" t="s">
        <v>192</v>
      </c>
      <c r="G61" s="5" t="s">
        <v>193</v>
      </c>
    </row>
    <row r="62" spans="1:7" x14ac:dyDescent="0.45">
      <c r="A62" s="5">
        <v>61</v>
      </c>
      <c r="B62" s="5" t="s">
        <v>12</v>
      </c>
      <c r="C62" s="5" t="s">
        <v>194</v>
      </c>
      <c r="D62" s="5" t="s">
        <v>195</v>
      </c>
      <c r="E62" s="5" t="s">
        <v>196</v>
      </c>
      <c r="F62" s="5" t="s">
        <v>197</v>
      </c>
      <c r="G62" s="5" t="s">
        <v>198</v>
      </c>
    </row>
    <row r="63" spans="1:7" x14ac:dyDescent="0.45">
      <c r="A63" s="5">
        <v>62</v>
      </c>
      <c r="B63" s="5" t="s">
        <v>12</v>
      </c>
      <c r="C63" s="5" t="s">
        <v>199</v>
      </c>
      <c r="D63" s="5" t="s">
        <v>200</v>
      </c>
      <c r="E63" s="5" t="s">
        <v>201</v>
      </c>
      <c r="F63" s="5" t="s">
        <v>202</v>
      </c>
      <c r="G63" s="5" t="s">
        <v>203</v>
      </c>
    </row>
    <row r="64" spans="1:7" x14ac:dyDescent="0.45">
      <c r="A64" s="5">
        <v>63</v>
      </c>
      <c r="B64" s="5" t="s">
        <v>12</v>
      </c>
      <c r="C64" s="5" t="s">
        <v>204</v>
      </c>
      <c r="D64" s="5" t="s">
        <v>205</v>
      </c>
      <c r="E64" s="5" t="s">
        <v>206</v>
      </c>
      <c r="F64" s="5" t="s">
        <v>207</v>
      </c>
      <c r="G64" s="5" t="s">
        <v>208</v>
      </c>
    </row>
    <row r="65" spans="1:7" x14ac:dyDescent="0.45">
      <c r="A65" s="5">
        <v>64</v>
      </c>
      <c r="B65" s="5" t="s">
        <v>12</v>
      </c>
      <c r="C65" s="5" t="s">
        <v>209</v>
      </c>
      <c r="D65" s="5" t="s">
        <v>210</v>
      </c>
      <c r="E65" s="5" t="s">
        <v>211</v>
      </c>
      <c r="F65" s="5" t="s">
        <v>212</v>
      </c>
      <c r="G65" s="5" t="s">
        <v>213</v>
      </c>
    </row>
    <row r="66" spans="1:7" x14ac:dyDescent="0.45">
      <c r="A66" s="5">
        <v>65</v>
      </c>
      <c r="B66" s="5" t="s">
        <v>12</v>
      </c>
      <c r="C66" s="5" t="s">
        <v>214</v>
      </c>
      <c r="D66" s="5" t="s">
        <v>215</v>
      </c>
      <c r="E66" s="5" t="s">
        <v>216</v>
      </c>
      <c r="F66" s="5" t="s">
        <v>217</v>
      </c>
      <c r="G66" s="5" t="s">
        <v>218</v>
      </c>
    </row>
    <row r="67" spans="1:7" x14ac:dyDescent="0.45">
      <c r="A67" s="5">
        <v>66</v>
      </c>
      <c r="B67" s="5" t="s">
        <v>12</v>
      </c>
      <c r="C67" s="5" t="s">
        <v>219</v>
      </c>
      <c r="D67" s="5" t="s">
        <v>220</v>
      </c>
      <c r="E67" s="5" t="s">
        <v>221</v>
      </c>
      <c r="F67" s="5" t="s">
        <v>222</v>
      </c>
      <c r="G67" s="5" t="s">
        <v>223</v>
      </c>
    </row>
    <row r="68" spans="1:7" x14ac:dyDescent="0.45">
      <c r="A68" s="5">
        <v>67</v>
      </c>
      <c r="B68" s="5" t="s">
        <v>12</v>
      </c>
      <c r="C68" s="5" t="s">
        <v>224</v>
      </c>
      <c r="D68" s="5" t="s">
        <v>225</v>
      </c>
      <c r="E68" s="5" t="s">
        <v>226</v>
      </c>
      <c r="F68" s="5" t="s">
        <v>227</v>
      </c>
      <c r="G68" s="5" t="s">
        <v>228</v>
      </c>
    </row>
    <row r="69" spans="1:7" x14ac:dyDescent="0.45">
      <c r="A69" s="5">
        <v>68</v>
      </c>
      <c r="B69" s="5" t="s">
        <v>12</v>
      </c>
      <c r="C69" s="5" t="s">
        <v>229</v>
      </c>
      <c r="D69" s="5" t="s">
        <v>230</v>
      </c>
      <c r="E69" s="5" t="s">
        <v>231</v>
      </c>
      <c r="F69" s="5" t="s">
        <v>232</v>
      </c>
      <c r="G69" s="5" t="s">
        <v>233</v>
      </c>
    </row>
    <row r="70" spans="1:7" x14ac:dyDescent="0.45">
      <c r="A70" s="5">
        <v>69</v>
      </c>
      <c r="B70" s="5" t="s">
        <v>12</v>
      </c>
      <c r="C70" s="5" t="s">
        <v>234</v>
      </c>
      <c r="D70" s="5" t="s">
        <v>235</v>
      </c>
      <c r="E70" s="5" t="s">
        <v>236</v>
      </c>
      <c r="F70" s="5" t="s">
        <v>237</v>
      </c>
      <c r="G70" s="5" t="s">
        <v>238</v>
      </c>
    </row>
    <row r="71" spans="1:7" x14ac:dyDescent="0.45">
      <c r="A71" s="5">
        <v>70</v>
      </c>
      <c r="B71" s="5" t="s">
        <v>12</v>
      </c>
      <c r="C71" s="5" t="s">
        <v>239</v>
      </c>
      <c r="D71" s="5" t="s">
        <v>240</v>
      </c>
      <c r="E71" s="5" t="s">
        <v>241</v>
      </c>
      <c r="F71" s="5" t="s">
        <v>242</v>
      </c>
      <c r="G71" s="5" t="s">
        <v>243</v>
      </c>
    </row>
    <row r="72" spans="1:7" x14ac:dyDescent="0.45">
      <c r="A72" s="5">
        <v>71</v>
      </c>
      <c r="B72" s="5" t="s">
        <v>53</v>
      </c>
      <c r="C72" s="5" t="s">
        <v>244</v>
      </c>
      <c r="D72" s="5" t="s">
        <v>245</v>
      </c>
      <c r="E72" s="5" t="s">
        <v>246</v>
      </c>
      <c r="F72" s="5" t="s">
        <v>247</v>
      </c>
      <c r="G72" s="5" t="s">
        <v>248</v>
      </c>
    </row>
    <row r="73" spans="1:7" x14ac:dyDescent="0.45">
      <c r="A73" s="5">
        <v>72</v>
      </c>
      <c r="B73" s="5" t="s">
        <v>53</v>
      </c>
      <c r="C73" s="5" t="s">
        <v>249</v>
      </c>
      <c r="D73" s="5" t="s">
        <v>250</v>
      </c>
      <c r="E73" s="5" t="s">
        <v>251</v>
      </c>
      <c r="F73" s="5" t="s">
        <v>252</v>
      </c>
      <c r="G73" s="5" t="s">
        <v>253</v>
      </c>
    </row>
    <row r="74" spans="1:7" x14ac:dyDescent="0.45">
      <c r="A74" s="5">
        <v>73</v>
      </c>
      <c r="B74" s="5" t="s">
        <v>53</v>
      </c>
      <c r="C74" s="5" t="s">
        <v>254</v>
      </c>
      <c r="D74" s="5" t="s">
        <v>255</v>
      </c>
      <c r="E74" s="5" t="s">
        <v>256</v>
      </c>
      <c r="F74" s="5" t="s">
        <v>257</v>
      </c>
      <c r="G74" s="5" t="s">
        <v>258</v>
      </c>
    </row>
    <row r="75" spans="1:7" x14ac:dyDescent="0.45">
      <c r="A75" s="5">
        <v>74</v>
      </c>
      <c r="B75" s="5" t="s">
        <v>53</v>
      </c>
      <c r="C75" s="5" t="s">
        <v>259</v>
      </c>
      <c r="D75" s="5" t="s">
        <v>260</v>
      </c>
      <c r="E75" s="5" t="s">
        <v>261</v>
      </c>
      <c r="F75" s="5" t="s">
        <v>262</v>
      </c>
      <c r="G75" s="5" t="s">
        <v>263</v>
      </c>
    </row>
    <row r="76" spans="1:7" x14ac:dyDescent="0.45">
      <c r="A76" s="5">
        <v>75</v>
      </c>
      <c r="B76" s="5" t="s">
        <v>53</v>
      </c>
      <c r="C76" s="5" t="s">
        <v>264</v>
      </c>
      <c r="D76" s="5" t="s">
        <v>265</v>
      </c>
      <c r="E76" s="5" t="s">
        <v>266</v>
      </c>
      <c r="F76" s="5" t="s">
        <v>267</v>
      </c>
      <c r="G76" s="5" t="s">
        <v>268</v>
      </c>
    </row>
    <row r="77" spans="1:7" x14ac:dyDescent="0.45">
      <c r="A77" s="5">
        <v>76</v>
      </c>
      <c r="B77" s="5" t="s">
        <v>53</v>
      </c>
      <c r="C77" s="5" t="s">
        <v>269</v>
      </c>
      <c r="D77" s="5" t="s">
        <v>270</v>
      </c>
      <c r="E77" s="5" t="s">
        <v>271</v>
      </c>
      <c r="F77" s="5" t="s">
        <v>272</v>
      </c>
      <c r="G77" s="5" t="s">
        <v>273</v>
      </c>
    </row>
    <row r="78" spans="1:7" x14ac:dyDescent="0.45">
      <c r="A78" s="5">
        <v>77</v>
      </c>
      <c r="B78" s="5" t="s">
        <v>53</v>
      </c>
      <c r="C78" s="5" t="s">
        <v>274</v>
      </c>
      <c r="D78" s="5" t="s">
        <v>275</v>
      </c>
      <c r="E78" s="5" t="s">
        <v>276</v>
      </c>
      <c r="F78" s="5" t="s">
        <v>277</v>
      </c>
      <c r="G78" s="5" t="s">
        <v>278</v>
      </c>
    </row>
    <row r="79" spans="1:7" x14ac:dyDescent="0.45">
      <c r="A79" s="5">
        <v>78</v>
      </c>
      <c r="B79" s="5" t="s">
        <v>53</v>
      </c>
      <c r="C79" s="5" t="s">
        <v>279</v>
      </c>
      <c r="D79" s="5" t="s">
        <v>280</v>
      </c>
      <c r="E79" s="5" t="s">
        <v>281</v>
      </c>
      <c r="F79" s="5" t="s">
        <v>282</v>
      </c>
      <c r="G79" s="5" t="s">
        <v>283</v>
      </c>
    </row>
    <row r="80" spans="1:7" x14ac:dyDescent="0.45">
      <c r="A80" s="5">
        <v>79</v>
      </c>
      <c r="B80" s="5" t="s">
        <v>53</v>
      </c>
      <c r="C80" s="5" t="s">
        <v>284</v>
      </c>
      <c r="D80" s="5" t="s">
        <v>285</v>
      </c>
      <c r="E80" s="5" t="s">
        <v>286</v>
      </c>
      <c r="F80" s="5" t="s">
        <v>287</v>
      </c>
      <c r="G80" s="5" t="s">
        <v>288</v>
      </c>
    </row>
    <row r="81" spans="1:7" x14ac:dyDescent="0.45">
      <c r="A81" s="5">
        <v>80</v>
      </c>
      <c r="B81" s="5" t="s">
        <v>53</v>
      </c>
      <c r="C81" s="5" t="s">
        <v>289</v>
      </c>
      <c r="D81" s="5" t="s">
        <v>290</v>
      </c>
      <c r="E81" s="5" t="s">
        <v>291</v>
      </c>
      <c r="F81" s="5" t="s">
        <v>292</v>
      </c>
      <c r="G81" s="5" t="s">
        <v>293</v>
      </c>
    </row>
    <row r="82" spans="1:7" x14ac:dyDescent="0.45">
      <c r="A82" s="5">
        <v>81</v>
      </c>
      <c r="B82" s="5" t="s">
        <v>53</v>
      </c>
      <c r="C82" s="5" t="s">
        <v>294</v>
      </c>
      <c r="D82" s="5" t="s">
        <v>295</v>
      </c>
      <c r="E82" s="5" t="s">
        <v>296</v>
      </c>
      <c r="F82" s="5" t="s">
        <v>297</v>
      </c>
      <c r="G82" s="5" t="s">
        <v>298</v>
      </c>
    </row>
    <row r="83" spans="1:7" x14ac:dyDescent="0.45">
      <c r="A83" s="5">
        <v>82</v>
      </c>
      <c r="B83" s="5" t="s">
        <v>53</v>
      </c>
      <c r="C83" s="5" t="s">
        <v>299</v>
      </c>
      <c r="D83" s="5" t="s">
        <v>300</v>
      </c>
      <c r="E83" s="5" t="s">
        <v>301</v>
      </c>
      <c r="F83" s="5" t="s">
        <v>302</v>
      </c>
      <c r="G83" s="5" t="s">
        <v>303</v>
      </c>
    </row>
    <row r="84" spans="1:7" x14ac:dyDescent="0.45">
      <c r="A84" s="5">
        <v>83</v>
      </c>
      <c r="B84" s="5" t="s">
        <v>53</v>
      </c>
      <c r="C84" s="5" t="s">
        <v>304</v>
      </c>
      <c r="D84" s="5" t="s">
        <v>305</v>
      </c>
      <c r="E84" s="5" t="s">
        <v>306</v>
      </c>
      <c r="F84" s="5" t="s">
        <v>307</v>
      </c>
      <c r="G84" s="5" t="s">
        <v>308</v>
      </c>
    </row>
    <row r="85" spans="1:7" x14ac:dyDescent="0.45">
      <c r="A85" s="5">
        <v>84</v>
      </c>
      <c r="B85" s="5" t="s">
        <v>53</v>
      </c>
      <c r="C85" s="5" t="s">
        <v>309</v>
      </c>
      <c r="D85" s="5" t="s">
        <v>310</v>
      </c>
      <c r="E85" s="5" t="s">
        <v>311</v>
      </c>
      <c r="F85" s="5" t="s">
        <v>312</v>
      </c>
      <c r="G85" s="5" t="s">
        <v>313</v>
      </c>
    </row>
    <row r="86" spans="1:7" x14ac:dyDescent="0.45">
      <c r="A86" s="5">
        <v>85</v>
      </c>
      <c r="B86" s="5" t="s">
        <v>53</v>
      </c>
      <c r="C86" s="5" t="s">
        <v>314</v>
      </c>
      <c r="D86" s="5" t="s">
        <v>315</v>
      </c>
      <c r="E86" s="5" t="s">
        <v>316</v>
      </c>
      <c r="F86" s="5" t="s">
        <v>317</v>
      </c>
      <c r="G86" s="5" t="s">
        <v>318</v>
      </c>
    </row>
    <row r="87" spans="1:7" x14ac:dyDescent="0.45">
      <c r="A87" s="5">
        <v>86</v>
      </c>
      <c r="B87" s="5" t="s">
        <v>53</v>
      </c>
      <c r="C87" s="5" t="s">
        <v>319</v>
      </c>
      <c r="D87" s="5" t="s">
        <v>320</v>
      </c>
      <c r="E87" s="5" t="s">
        <v>321</v>
      </c>
      <c r="F87" s="5" t="s">
        <v>322</v>
      </c>
      <c r="G87" s="5" t="s">
        <v>323</v>
      </c>
    </row>
    <row r="88" spans="1:7" x14ac:dyDescent="0.45">
      <c r="A88" s="5">
        <v>87</v>
      </c>
      <c r="B88" s="5" t="s">
        <v>53</v>
      </c>
      <c r="C88" s="5" t="s">
        <v>324</v>
      </c>
      <c r="D88" s="5" t="s">
        <v>325</v>
      </c>
      <c r="E88" s="5" t="s">
        <v>326</v>
      </c>
      <c r="F88" s="5" t="s">
        <v>327</v>
      </c>
      <c r="G88" s="5" t="s">
        <v>328</v>
      </c>
    </row>
    <row r="89" spans="1:7" x14ac:dyDescent="0.45">
      <c r="A89" s="5">
        <v>88</v>
      </c>
      <c r="B89" s="5" t="s">
        <v>53</v>
      </c>
      <c r="C89" s="5" t="s">
        <v>329</v>
      </c>
      <c r="D89" s="5" t="s">
        <v>330</v>
      </c>
      <c r="E89" s="5" t="s">
        <v>331</v>
      </c>
      <c r="F89" s="5" t="s">
        <v>332</v>
      </c>
      <c r="G89" s="5" t="s">
        <v>333</v>
      </c>
    </row>
    <row r="90" spans="1:7" x14ac:dyDescent="0.45">
      <c r="A90" s="5">
        <v>89</v>
      </c>
      <c r="B90" s="5" t="s">
        <v>53</v>
      </c>
      <c r="C90" s="5" t="s">
        <v>334</v>
      </c>
      <c r="D90" s="5" t="s">
        <v>335</v>
      </c>
      <c r="E90" s="5" t="s">
        <v>336</v>
      </c>
      <c r="F90" s="5" t="s">
        <v>337</v>
      </c>
      <c r="G90" s="5" t="s">
        <v>338</v>
      </c>
    </row>
    <row r="91" spans="1:7" x14ac:dyDescent="0.45">
      <c r="A91" s="5">
        <v>90</v>
      </c>
      <c r="B91" s="5" t="s">
        <v>53</v>
      </c>
      <c r="C91" s="5" t="s">
        <v>339</v>
      </c>
      <c r="D91" s="5" t="s">
        <v>340</v>
      </c>
      <c r="E91" s="5" t="s">
        <v>341</v>
      </c>
      <c r="F91" s="5" t="s">
        <v>342</v>
      </c>
      <c r="G91" s="5" t="s">
        <v>343</v>
      </c>
    </row>
    <row r="92" spans="1:7" x14ac:dyDescent="0.45">
      <c r="A92" s="5">
        <v>91</v>
      </c>
      <c r="B92" s="5" t="s">
        <v>53</v>
      </c>
      <c r="C92" s="5" t="s">
        <v>344</v>
      </c>
      <c r="D92" s="5" t="s">
        <v>345</v>
      </c>
      <c r="E92" s="5" t="s">
        <v>346</v>
      </c>
      <c r="F92" s="5" t="s">
        <v>347</v>
      </c>
      <c r="G92" s="5" t="s">
        <v>348</v>
      </c>
    </row>
    <row r="93" spans="1:7" x14ac:dyDescent="0.45">
      <c r="A93" s="5">
        <v>92</v>
      </c>
      <c r="B93" s="5" t="s">
        <v>53</v>
      </c>
      <c r="C93" s="5" t="s">
        <v>349</v>
      </c>
      <c r="D93" s="5" t="s">
        <v>350</v>
      </c>
      <c r="E93" s="5" t="s">
        <v>351</v>
      </c>
      <c r="F93" s="5" t="s">
        <v>352</v>
      </c>
      <c r="G93" s="5" t="s">
        <v>353</v>
      </c>
    </row>
    <row r="94" spans="1:7" x14ac:dyDescent="0.45">
      <c r="A94" s="5">
        <v>93</v>
      </c>
      <c r="B94" s="5" t="s">
        <v>53</v>
      </c>
      <c r="C94" s="5" t="s">
        <v>354</v>
      </c>
      <c r="D94" s="5" t="s">
        <v>355</v>
      </c>
      <c r="E94" s="5" t="s">
        <v>356</v>
      </c>
      <c r="F94" s="5" t="s">
        <v>357</v>
      </c>
      <c r="G94" s="5" t="s">
        <v>358</v>
      </c>
    </row>
    <row r="95" spans="1:7" x14ac:dyDescent="0.45">
      <c r="A95" s="5">
        <v>94</v>
      </c>
      <c r="B95" s="5" t="s">
        <v>53</v>
      </c>
      <c r="C95" s="5" t="s">
        <v>359</v>
      </c>
      <c r="D95" s="5" t="s">
        <v>360</v>
      </c>
      <c r="E95" s="5" t="s">
        <v>361</v>
      </c>
      <c r="F95" s="5" t="s">
        <v>362</v>
      </c>
      <c r="G95" s="5" t="s">
        <v>363</v>
      </c>
    </row>
    <row r="96" spans="1:7" x14ac:dyDescent="0.45">
      <c r="A96" s="5">
        <v>95</v>
      </c>
      <c r="B96" s="5" t="s">
        <v>53</v>
      </c>
      <c r="C96" s="5" t="s">
        <v>364</v>
      </c>
      <c r="D96" s="5" t="s">
        <v>365</v>
      </c>
      <c r="E96" s="5" t="s">
        <v>366</v>
      </c>
      <c r="F96" s="5" t="s">
        <v>367</v>
      </c>
      <c r="G96" s="5" t="s">
        <v>368</v>
      </c>
    </row>
    <row r="97" spans="1:7" x14ac:dyDescent="0.45">
      <c r="A97" s="5">
        <v>96</v>
      </c>
      <c r="B97" s="5" t="s">
        <v>53</v>
      </c>
      <c r="C97" s="5" t="s">
        <v>369</v>
      </c>
      <c r="D97" s="5" t="s">
        <v>370</v>
      </c>
      <c r="E97" s="5" t="s">
        <v>371</v>
      </c>
      <c r="F97" s="5" t="s">
        <v>372</v>
      </c>
      <c r="G97" s="5" t="s">
        <v>373</v>
      </c>
    </row>
    <row r="98" spans="1:7" x14ac:dyDescent="0.45">
      <c r="A98" s="5">
        <v>97</v>
      </c>
      <c r="B98" s="5" t="s">
        <v>53</v>
      </c>
      <c r="C98" s="5" t="s">
        <v>374</v>
      </c>
      <c r="D98" s="5" t="s">
        <v>375</v>
      </c>
      <c r="E98" s="5" t="s">
        <v>376</v>
      </c>
      <c r="F98" s="5" t="s">
        <v>377</v>
      </c>
      <c r="G98" s="5" t="s">
        <v>378</v>
      </c>
    </row>
    <row r="99" spans="1:7" x14ac:dyDescent="0.45">
      <c r="A99" s="5">
        <v>98</v>
      </c>
      <c r="B99" s="5" t="s">
        <v>53</v>
      </c>
      <c r="C99" s="5" t="s">
        <v>379</v>
      </c>
      <c r="D99" s="5" t="s">
        <v>380</v>
      </c>
      <c r="E99" s="5" t="s">
        <v>381</v>
      </c>
      <c r="F99" s="5" t="s">
        <v>382</v>
      </c>
      <c r="G99" s="5" t="s">
        <v>383</v>
      </c>
    </row>
    <row r="100" spans="1:7" x14ac:dyDescent="0.45">
      <c r="A100" s="5">
        <v>99</v>
      </c>
      <c r="B100" s="5" t="s">
        <v>53</v>
      </c>
      <c r="C100" s="5" t="s">
        <v>384</v>
      </c>
      <c r="D100" s="5" t="s">
        <v>385</v>
      </c>
      <c r="E100" s="5" t="s">
        <v>386</v>
      </c>
      <c r="F100" s="5" t="s">
        <v>387</v>
      </c>
      <c r="G100" s="5" t="s">
        <v>388</v>
      </c>
    </row>
    <row r="101" spans="1:7" x14ac:dyDescent="0.45">
      <c r="A101" s="5">
        <v>100</v>
      </c>
      <c r="B101" s="5" t="s">
        <v>53</v>
      </c>
      <c r="C101" s="5" t="s">
        <v>389</v>
      </c>
      <c r="D101" s="5" t="s">
        <v>390</v>
      </c>
      <c r="E101" s="5" t="s">
        <v>391</v>
      </c>
      <c r="F101" s="5" t="s">
        <v>392</v>
      </c>
      <c r="G101" s="5" t="s">
        <v>393</v>
      </c>
    </row>
    <row r="102" spans="1:7" x14ac:dyDescent="0.45">
      <c r="A102" s="5">
        <v>101</v>
      </c>
      <c r="B102" s="5" t="s">
        <v>53</v>
      </c>
      <c r="C102" s="5" t="s">
        <v>394</v>
      </c>
      <c r="D102" s="5" t="s">
        <v>395</v>
      </c>
      <c r="E102" s="5" t="s">
        <v>396</v>
      </c>
      <c r="F102" s="5" t="s">
        <v>397</v>
      </c>
      <c r="G102" s="5" t="s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F16CB-9328-4EA1-B9DA-07B542BD5958}">
  <dimension ref="A1:L21"/>
  <sheetViews>
    <sheetView workbookViewId="0">
      <selection activeCell="Y4" sqref="Y4"/>
    </sheetView>
  </sheetViews>
  <sheetFormatPr defaultRowHeight="14.25" x14ac:dyDescent="0.45"/>
  <cols>
    <col min="1" max="1" width="5.06640625" customWidth="1"/>
    <col min="2" max="2" width="15.19921875" customWidth="1"/>
    <col min="3" max="3" width="30.265625" customWidth="1"/>
    <col min="4" max="6" width="29.53125" customWidth="1"/>
    <col min="7" max="7" width="19.46484375" customWidth="1"/>
    <col min="12" max="12" width="11.19921875" customWidth="1"/>
  </cols>
  <sheetData>
    <row r="1" spans="1:12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57" x14ac:dyDescent="0.45">
      <c r="A2" s="3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14</v>
      </c>
      <c r="H2" s="3">
        <v>0.31879831764733507</v>
      </c>
      <c r="I2" s="3">
        <v>0.72146322727203371</v>
      </c>
      <c r="J2" s="3">
        <v>0.71574916839599612</v>
      </c>
      <c r="K2" s="3">
        <v>0.71859183311462405</v>
      </c>
      <c r="L2" s="3">
        <v>0.99902909994125366</v>
      </c>
    </row>
    <row r="3" spans="1:12" ht="57" x14ac:dyDescent="0.45">
      <c r="A3" s="3">
        <v>2</v>
      </c>
      <c r="B3" s="3" t="s">
        <v>12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18</v>
      </c>
      <c r="H3" s="3">
        <v>0.59282980137146979</v>
      </c>
      <c r="I3" s="3">
        <v>0.81890335083007815</v>
      </c>
      <c r="J3" s="3">
        <v>0.88234367370605471</v>
      </c>
      <c r="K3" s="3">
        <v>0.84918739795684817</v>
      </c>
      <c r="L3" s="3">
        <v>0.99629545211791992</v>
      </c>
    </row>
    <row r="4" spans="1:12" ht="57" x14ac:dyDescent="0.45">
      <c r="A4" s="3">
        <v>3</v>
      </c>
      <c r="B4" s="3" t="s">
        <v>12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22</v>
      </c>
      <c r="H4" s="3">
        <v>0.56460159523593301</v>
      </c>
      <c r="I4" s="3">
        <v>0.73806180953979494</v>
      </c>
      <c r="J4" s="3">
        <v>0.82125993967056277</v>
      </c>
      <c r="K4" s="3">
        <v>0.77691265344619753</v>
      </c>
      <c r="L4" s="3">
        <v>0.98127144575119019</v>
      </c>
    </row>
    <row r="5" spans="1:12" ht="57" x14ac:dyDescent="0.45">
      <c r="A5" s="3">
        <v>4</v>
      </c>
      <c r="B5" s="3" t="s">
        <v>12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26</v>
      </c>
      <c r="H5" s="3">
        <v>0.69567167294524301</v>
      </c>
      <c r="I5" s="3">
        <v>0.92649718523025515</v>
      </c>
      <c r="J5" s="3">
        <v>0.97345628738403323</v>
      </c>
      <c r="K5" s="3">
        <v>0.94928767681121828</v>
      </c>
      <c r="L5" s="3">
        <v>0.9960249662399292</v>
      </c>
    </row>
    <row r="6" spans="1:12" ht="57" x14ac:dyDescent="0.45">
      <c r="A6" s="3">
        <v>5</v>
      </c>
      <c r="B6" s="3" t="s">
        <v>12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30</v>
      </c>
      <c r="H6" s="3">
        <v>0.31869018372152497</v>
      </c>
      <c r="I6" s="3">
        <v>0.69553598165512087</v>
      </c>
      <c r="J6" s="3">
        <v>0.67339667081832888</v>
      </c>
      <c r="K6" s="3">
        <v>0.68423708677291872</v>
      </c>
      <c r="L6" s="3">
        <v>0.99963462352752686</v>
      </c>
    </row>
    <row r="7" spans="1:12" ht="57" x14ac:dyDescent="0.45">
      <c r="A7" s="3">
        <v>6</v>
      </c>
      <c r="B7" s="3" t="s">
        <v>12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34</v>
      </c>
      <c r="H7" s="3">
        <v>0.32432542569851425</v>
      </c>
      <c r="I7" s="3">
        <v>0.60480120182037345</v>
      </c>
      <c r="J7" s="3">
        <v>0.69318344593048098</v>
      </c>
      <c r="K7" s="3">
        <v>0.64507871270179751</v>
      </c>
      <c r="L7" s="3">
        <v>0.99691051244735718</v>
      </c>
    </row>
    <row r="8" spans="1:12" ht="57" x14ac:dyDescent="0.45">
      <c r="A8" s="3">
        <v>7</v>
      </c>
      <c r="B8" s="3" t="s">
        <v>12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38</v>
      </c>
      <c r="H8" s="3">
        <v>0.3894785320077076</v>
      </c>
      <c r="I8" s="3">
        <v>0.81760200262069704</v>
      </c>
      <c r="J8" s="3">
        <v>0.88757153749465945</v>
      </c>
      <c r="K8" s="3">
        <v>0.8508447051048279</v>
      </c>
      <c r="L8" s="3">
        <v>0.99567723274230957</v>
      </c>
    </row>
    <row r="9" spans="1:12" ht="42.75" x14ac:dyDescent="0.45">
      <c r="A9" s="3">
        <v>8</v>
      </c>
      <c r="B9" s="3" t="s">
        <v>12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42</v>
      </c>
      <c r="H9" s="3">
        <v>0.33975360176263952</v>
      </c>
      <c r="I9" s="3">
        <v>0.79626032114028933</v>
      </c>
      <c r="J9" s="3">
        <v>0.872939670085907</v>
      </c>
      <c r="K9" s="3">
        <v>0.83245285749435427</v>
      </c>
      <c r="L9" s="3">
        <v>0.99869078397750854</v>
      </c>
    </row>
    <row r="10" spans="1:12" ht="42.75" x14ac:dyDescent="0.45">
      <c r="A10" s="3">
        <v>9</v>
      </c>
      <c r="B10" s="3" t="s">
        <v>12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46</v>
      </c>
      <c r="H10" s="3">
        <v>0.32025598602712563</v>
      </c>
      <c r="I10" s="3">
        <v>0.74100574254989626</v>
      </c>
      <c r="J10" s="3">
        <v>0.74222531318664553</v>
      </c>
      <c r="K10" s="3">
        <v>0.74161484241485598</v>
      </c>
      <c r="L10" s="3">
        <v>0.9998176097869873</v>
      </c>
    </row>
    <row r="11" spans="1:12" ht="42.75" x14ac:dyDescent="0.45">
      <c r="A11" s="3">
        <v>10</v>
      </c>
      <c r="B11" s="3" t="s">
        <v>12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50</v>
      </c>
      <c r="H11" s="3">
        <v>0.35612222324305731</v>
      </c>
      <c r="I11" s="3">
        <v>0.93766775131225588</v>
      </c>
      <c r="J11" s="3">
        <v>0.92618664503097536</v>
      </c>
      <c r="K11" s="3">
        <v>0.93188502788543703</v>
      </c>
      <c r="L11" s="3">
        <v>0.99997693300247192</v>
      </c>
    </row>
    <row r="12" spans="1:12" ht="57" x14ac:dyDescent="0.45">
      <c r="A12" s="3">
        <v>11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55</v>
      </c>
      <c r="H12" s="3">
        <v>0.68176664604511261</v>
      </c>
      <c r="I12" s="3">
        <v>0.99680336713790896</v>
      </c>
      <c r="J12" s="3">
        <v>0.87064433097839355</v>
      </c>
      <c r="K12" s="3">
        <v>0.85855835676193237</v>
      </c>
      <c r="L12" s="3">
        <v>0.98754775524139404</v>
      </c>
    </row>
    <row r="13" spans="1:12" ht="57" x14ac:dyDescent="0.45">
      <c r="A13" s="3">
        <v>12</v>
      </c>
      <c r="B13" s="3" t="s">
        <v>53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59</v>
      </c>
      <c r="H13" s="3">
        <v>0.73788268658607936</v>
      </c>
      <c r="I13" s="3">
        <v>0.9162477493286133</v>
      </c>
      <c r="J13" s="3">
        <v>0.94113143682479861</v>
      </c>
      <c r="K13" s="3">
        <v>0.92849072217941286</v>
      </c>
      <c r="L13" s="3">
        <v>0.99550426006317139</v>
      </c>
    </row>
    <row r="14" spans="1:12" ht="57" x14ac:dyDescent="0.45">
      <c r="A14" s="3">
        <v>13</v>
      </c>
      <c r="B14" s="3" t="s">
        <v>53</v>
      </c>
      <c r="C14" s="3" t="s">
        <v>62</v>
      </c>
      <c r="D14" s="3" t="s">
        <v>63</v>
      </c>
      <c r="E14" s="3" t="s">
        <v>64</v>
      </c>
      <c r="F14" s="3" t="s">
        <v>65</v>
      </c>
      <c r="G14" s="3" t="s">
        <v>63</v>
      </c>
      <c r="H14" s="3">
        <v>0.47694975149532559</v>
      </c>
      <c r="I14" s="3">
        <v>0.84037640094757082</v>
      </c>
      <c r="J14" s="3">
        <v>0.87778749465942385</v>
      </c>
      <c r="K14" s="3">
        <v>0.85858848094940188</v>
      </c>
      <c r="L14" s="3">
        <v>0.98465168476104736</v>
      </c>
    </row>
    <row r="15" spans="1:12" ht="71.25" x14ac:dyDescent="0.45">
      <c r="A15" s="3">
        <v>14</v>
      </c>
      <c r="B15" s="3" t="s">
        <v>53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67</v>
      </c>
      <c r="H15" s="3">
        <v>0.3894785320077076</v>
      </c>
      <c r="I15" s="3">
        <v>0.8713329076766968</v>
      </c>
      <c r="J15" s="3">
        <v>0.84700837135314944</v>
      </c>
      <c r="K15" s="3">
        <v>0.85896208286285403</v>
      </c>
      <c r="L15" s="3">
        <v>0.99867904186248779</v>
      </c>
    </row>
    <row r="16" spans="1:12" ht="57" x14ac:dyDescent="0.45">
      <c r="A16" s="3">
        <v>15</v>
      </c>
      <c r="B16" s="3" t="s">
        <v>53</v>
      </c>
      <c r="C16" s="3" t="s">
        <v>70</v>
      </c>
      <c r="D16" s="3" t="s">
        <v>71</v>
      </c>
      <c r="E16" s="3" t="s">
        <v>72</v>
      </c>
      <c r="F16" s="3" t="s">
        <v>73</v>
      </c>
      <c r="G16" s="3" t="s">
        <v>71</v>
      </c>
      <c r="H16" s="3">
        <v>0.40517814398304308</v>
      </c>
      <c r="I16" s="3">
        <v>0.93783106803894045</v>
      </c>
      <c r="J16" s="3">
        <v>0.97769048213958742</v>
      </c>
      <c r="K16" s="3">
        <v>0.95726909637451174</v>
      </c>
      <c r="L16" s="3">
        <v>0.99975991249084473</v>
      </c>
    </row>
    <row r="17" spans="1:12" ht="57" x14ac:dyDescent="0.45">
      <c r="A17" s="3">
        <v>16</v>
      </c>
      <c r="B17" s="3" t="s">
        <v>53</v>
      </c>
      <c r="C17" s="3" t="s">
        <v>74</v>
      </c>
      <c r="D17" s="3" t="s">
        <v>75</v>
      </c>
      <c r="E17" s="3" t="s">
        <v>76</v>
      </c>
      <c r="F17" s="3" t="s">
        <v>77</v>
      </c>
      <c r="G17" s="3" t="s">
        <v>75</v>
      </c>
      <c r="H17" s="3">
        <v>0.40120193244194391</v>
      </c>
      <c r="I17" s="3">
        <v>0.90054448843002322</v>
      </c>
      <c r="J17" s="3">
        <v>0.94772067070007326</v>
      </c>
      <c r="K17" s="3">
        <v>0.92341377735137942</v>
      </c>
      <c r="L17" s="3">
        <v>0.99986934661865234</v>
      </c>
    </row>
    <row r="18" spans="1:12" ht="57" x14ac:dyDescent="0.45">
      <c r="A18" s="3">
        <v>17</v>
      </c>
      <c r="B18" s="3" t="s">
        <v>53</v>
      </c>
      <c r="C18" s="3" t="s">
        <v>78</v>
      </c>
      <c r="D18" s="3" t="s">
        <v>79</v>
      </c>
      <c r="E18" s="3" t="s">
        <v>80</v>
      </c>
      <c r="F18" s="3" t="s">
        <v>81</v>
      </c>
      <c r="G18" s="3" t="s">
        <v>79</v>
      </c>
      <c r="H18" s="3">
        <v>0.33270934470877217</v>
      </c>
      <c r="I18" s="3">
        <v>0.81245073080062868</v>
      </c>
      <c r="J18" s="3">
        <v>0.81230994462966921</v>
      </c>
      <c r="K18" s="3">
        <v>0.81238033771514895</v>
      </c>
      <c r="L18" s="3">
        <v>0.99677658081054688</v>
      </c>
    </row>
    <row r="19" spans="1:12" ht="57" x14ac:dyDescent="0.45">
      <c r="A19" s="3">
        <v>18</v>
      </c>
      <c r="B19" s="3" t="s">
        <v>53</v>
      </c>
      <c r="C19" s="3" t="s">
        <v>82</v>
      </c>
      <c r="D19" s="3" t="s">
        <v>83</v>
      </c>
      <c r="E19" s="3" t="s">
        <v>84</v>
      </c>
      <c r="F19" s="3" t="s">
        <v>85</v>
      </c>
      <c r="G19" s="3" t="s">
        <v>83</v>
      </c>
      <c r="H19" s="3">
        <v>0.38609583710384032</v>
      </c>
      <c r="I19" s="3">
        <v>0.90008732080459597</v>
      </c>
      <c r="J19" s="3">
        <v>0.91620304584503176</v>
      </c>
      <c r="K19" s="3">
        <v>0.90805950164794924</v>
      </c>
      <c r="L19" s="3">
        <v>0.99853682518005371</v>
      </c>
    </row>
    <row r="20" spans="1:12" ht="57" x14ac:dyDescent="0.45">
      <c r="A20" s="3">
        <v>19</v>
      </c>
      <c r="B20" s="3" t="s">
        <v>53</v>
      </c>
      <c r="C20" s="3" t="s">
        <v>86</v>
      </c>
      <c r="D20" s="3" t="s">
        <v>87</v>
      </c>
      <c r="E20" s="3" t="s">
        <v>88</v>
      </c>
      <c r="F20" s="3" t="s">
        <v>89</v>
      </c>
      <c r="G20" s="3" t="s">
        <v>87</v>
      </c>
      <c r="H20" s="3">
        <v>0.32020010691269413</v>
      </c>
      <c r="I20" s="3">
        <v>0.77574326992034914</v>
      </c>
      <c r="J20" s="3">
        <v>0.775022828578949</v>
      </c>
      <c r="K20" s="3">
        <v>0.77538290023803713</v>
      </c>
      <c r="L20" s="3">
        <v>0.99909323453903198</v>
      </c>
    </row>
    <row r="21" spans="1:12" ht="57" x14ac:dyDescent="0.45">
      <c r="A21" s="3">
        <v>20</v>
      </c>
      <c r="B21" s="3" t="s">
        <v>53</v>
      </c>
      <c r="C21" s="3" t="s">
        <v>90</v>
      </c>
      <c r="D21" s="3" t="s">
        <v>91</v>
      </c>
      <c r="E21" s="3" t="s">
        <v>92</v>
      </c>
      <c r="F21" s="3" t="s">
        <v>93</v>
      </c>
      <c r="G21" s="3" t="s">
        <v>91</v>
      </c>
      <c r="H21" s="3">
        <v>0.36484115071397644</v>
      </c>
      <c r="I21" s="3">
        <v>0.96704151630401614</v>
      </c>
      <c r="J21" s="3">
        <v>0.98314323425292971</v>
      </c>
      <c r="K21" s="3">
        <v>0.97501387596130373</v>
      </c>
      <c r="L21" s="3">
        <v>0.99990123510360718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vinsakharisma123@g.ncu.edu.tw</cp:lastModifiedBy>
  <dcterms:created xsi:type="dcterms:W3CDTF">2026-01-08T09:57:35Z</dcterms:created>
  <dcterms:modified xsi:type="dcterms:W3CDTF">2026-01-17T05:12:58Z</dcterms:modified>
</cp:coreProperties>
</file>